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Liz-VScode\TallyApp\"/>
    </mc:Choice>
  </mc:AlternateContent>
  <xr:revisionPtr revIDLastSave="0" documentId="13_ncr:1_{AFE96239-2CEA-4287-BF08-A8DA6A2FFC37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Raw Data" sheetId="1" r:id="rId1"/>
    <sheet name="x" sheetId="2" r:id="rId2"/>
    <sheet name="June 2026" sheetId="3" r:id="rId3"/>
    <sheet name="May 2026" sheetId="4" r:id="rId4"/>
    <sheet name="School Tally" sheetId="5" r:id="rId5"/>
    <sheet name="Residency Tally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G69" i="4" l="1"/>
  <c r="AD69" i="4"/>
  <c r="AM43" i="4" s="1"/>
  <c r="AI35" i="4"/>
  <c r="AH35" i="4"/>
  <c r="AG35" i="4"/>
  <c r="AF35" i="4"/>
  <c r="AE35" i="4"/>
  <c r="AD35" i="4"/>
  <c r="AC35" i="4"/>
  <c r="AB35" i="4"/>
  <c r="Y35" i="4"/>
  <c r="X35" i="4"/>
  <c r="W35" i="4"/>
  <c r="V35" i="4"/>
  <c r="U35" i="4"/>
  <c r="T35" i="4"/>
  <c r="S35" i="4"/>
  <c r="P35" i="4"/>
  <c r="O35" i="4"/>
  <c r="N35" i="4"/>
  <c r="M35" i="4"/>
  <c r="L35" i="4"/>
  <c r="K35" i="4"/>
  <c r="H35" i="4"/>
  <c r="G35" i="4"/>
  <c r="F35" i="4"/>
  <c r="E35" i="4"/>
  <c r="D35" i="4"/>
  <c r="C35" i="4"/>
  <c r="AI34" i="4"/>
  <c r="Z34" i="4"/>
  <c r="AL34" i="4" s="1"/>
  <c r="Q34" i="4"/>
  <c r="I34" i="4"/>
  <c r="AK34" i="4" s="1"/>
  <c r="AL33" i="4"/>
  <c r="AI33" i="4"/>
  <c r="Z33" i="4"/>
  <c r="Q33" i="4"/>
  <c r="I33" i="4"/>
  <c r="AK33" i="4" s="1"/>
  <c r="AM33" i="4" s="1"/>
  <c r="AI32" i="4"/>
  <c r="Z32" i="4"/>
  <c r="AL32" i="4" s="1"/>
  <c r="Q32" i="4"/>
  <c r="I32" i="4"/>
  <c r="AK32" i="4" s="1"/>
  <c r="AM32" i="4" s="1"/>
  <c r="AI31" i="4"/>
  <c r="Z31" i="4"/>
  <c r="AL31" i="4" s="1"/>
  <c r="Q31" i="4"/>
  <c r="I31" i="4"/>
  <c r="AK31" i="4" s="1"/>
  <c r="AM31" i="4" s="1"/>
  <c r="AK30" i="4"/>
  <c r="AM30" i="4" s="1"/>
  <c r="AI30" i="4"/>
  <c r="Z30" i="4"/>
  <c r="AL30" i="4" s="1"/>
  <c r="Q30" i="4"/>
  <c r="I30" i="4"/>
  <c r="AI29" i="4"/>
  <c r="Z29" i="4"/>
  <c r="AL29" i="4" s="1"/>
  <c r="Q29" i="4"/>
  <c r="I29" i="4"/>
  <c r="AK29" i="4" s="1"/>
  <c r="AM29" i="4" s="1"/>
  <c r="AL28" i="4"/>
  <c r="AK28" i="4"/>
  <c r="AM28" i="4" s="1"/>
  <c r="AI28" i="4"/>
  <c r="Z28" i="4"/>
  <c r="Q28" i="4"/>
  <c r="I28" i="4"/>
  <c r="AI27" i="4"/>
  <c r="Z27" i="4"/>
  <c r="AL27" i="4" s="1"/>
  <c r="Q27" i="4"/>
  <c r="I27" i="4"/>
  <c r="AK27" i="4" s="1"/>
  <c r="AI26" i="4"/>
  <c r="Z26" i="4"/>
  <c r="AL26" i="4" s="1"/>
  <c r="Q26" i="4"/>
  <c r="I26" i="4"/>
  <c r="AK26" i="4" s="1"/>
  <c r="AI25" i="4"/>
  <c r="Z25" i="4"/>
  <c r="AL25" i="4" s="1"/>
  <c r="Q25" i="4"/>
  <c r="AK25" i="4" s="1"/>
  <c r="AM25" i="4" s="1"/>
  <c r="I25" i="4"/>
  <c r="AI24" i="4"/>
  <c r="Z24" i="4"/>
  <c r="AL24" i="4" s="1"/>
  <c r="Q24" i="4"/>
  <c r="I24" i="4"/>
  <c r="AK24" i="4" s="1"/>
  <c r="AK23" i="4"/>
  <c r="AI23" i="4"/>
  <c r="AL23" i="4" s="1"/>
  <c r="Z23" i="4"/>
  <c r="Q23" i="4"/>
  <c r="I23" i="4"/>
  <c r="AI22" i="4"/>
  <c r="Z22" i="4"/>
  <c r="AL22" i="4" s="1"/>
  <c r="Q22" i="4"/>
  <c r="I22" i="4"/>
  <c r="AK22" i="4" s="1"/>
  <c r="AL21" i="4"/>
  <c r="AI21" i="4"/>
  <c r="Z21" i="4"/>
  <c r="Q21" i="4"/>
  <c r="I21" i="4"/>
  <c r="AK21" i="4" s="1"/>
  <c r="AM21" i="4" s="1"/>
  <c r="AI20" i="4"/>
  <c r="Z20" i="4"/>
  <c r="AL20" i="4" s="1"/>
  <c r="Q20" i="4"/>
  <c r="I20" i="4"/>
  <c r="AK20" i="4" s="1"/>
  <c r="AM20" i="4" s="1"/>
  <c r="AI19" i="4"/>
  <c r="Z19" i="4"/>
  <c r="AL19" i="4" s="1"/>
  <c r="Q19" i="4"/>
  <c r="I19" i="4"/>
  <c r="AK19" i="4" s="1"/>
  <c r="AM19" i="4" s="1"/>
  <c r="AK18" i="4"/>
  <c r="AI18" i="4"/>
  <c r="Z18" i="4"/>
  <c r="AL18" i="4" s="1"/>
  <c r="Q18" i="4"/>
  <c r="I18" i="4"/>
  <c r="AI17" i="4"/>
  <c r="Z17" i="4"/>
  <c r="AL17" i="4" s="1"/>
  <c r="Q17" i="4"/>
  <c r="I17" i="4"/>
  <c r="AK17" i="4" s="1"/>
  <c r="AM17" i="4" s="1"/>
  <c r="AL16" i="4"/>
  <c r="AK16" i="4"/>
  <c r="AM16" i="4" s="1"/>
  <c r="AI16" i="4"/>
  <c r="Z16" i="4"/>
  <c r="Q16" i="4"/>
  <c r="I16" i="4"/>
  <c r="AI15" i="4"/>
  <c r="Z15" i="4"/>
  <c r="AL15" i="4" s="1"/>
  <c r="Q15" i="4"/>
  <c r="I15" i="4"/>
  <c r="AK15" i="4" s="1"/>
  <c r="AM15" i="4" s="1"/>
  <c r="AI14" i="4"/>
  <c r="Z14" i="4"/>
  <c r="AL14" i="4" s="1"/>
  <c r="Q14" i="4"/>
  <c r="I14" i="4"/>
  <c r="AK14" i="4" s="1"/>
  <c r="AI13" i="4"/>
  <c r="Z13" i="4"/>
  <c r="AL13" i="4" s="1"/>
  <c r="I13" i="4"/>
  <c r="AK13" i="4" s="1"/>
  <c r="AI12" i="4"/>
  <c r="Z12" i="4"/>
  <c r="AL12" i="4" s="1"/>
  <c r="Q12" i="4"/>
  <c r="I12" i="4"/>
  <c r="AK12" i="4" s="1"/>
  <c r="AK11" i="4"/>
  <c r="AI11" i="4"/>
  <c r="Z11" i="4"/>
  <c r="AL11" i="4" s="1"/>
  <c r="Q11" i="4"/>
  <c r="I11" i="4"/>
  <c r="AI10" i="4"/>
  <c r="Z10" i="4"/>
  <c r="AL10" i="4" s="1"/>
  <c r="Q10" i="4"/>
  <c r="I10" i="4"/>
  <c r="AK10" i="4" s="1"/>
  <c r="AM10" i="4" s="1"/>
  <c r="AL9" i="4"/>
  <c r="AK9" i="4"/>
  <c r="AM9" i="4" s="1"/>
  <c r="AI9" i="4"/>
  <c r="Z9" i="4"/>
  <c r="Q9" i="4"/>
  <c r="I9" i="4"/>
  <c r="AI8" i="4"/>
  <c r="Z8" i="4"/>
  <c r="AL8" i="4" s="1"/>
  <c r="Q8" i="4"/>
  <c r="I8" i="4"/>
  <c r="AK8" i="4" s="1"/>
  <c r="AI7" i="4"/>
  <c r="Z7" i="4"/>
  <c r="AL7" i="4" s="1"/>
  <c r="Q7" i="4"/>
  <c r="I7" i="4"/>
  <c r="AK7" i="4" s="1"/>
  <c r="AM7" i="4" s="1"/>
  <c r="AI6" i="4"/>
  <c r="Z6" i="4"/>
  <c r="AL6" i="4" s="1"/>
  <c r="Q6" i="4"/>
  <c r="AK6" i="4" s="1"/>
  <c r="AM6" i="4" s="1"/>
  <c r="I6" i="4"/>
  <c r="AI5" i="4"/>
  <c r="Z5" i="4"/>
  <c r="AL5" i="4" s="1"/>
  <c r="Q5" i="4"/>
  <c r="I5" i="4"/>
  <c r="AK5" i="4" s="1"/>
  <c r="AK4" i="4"/>
  <c r="AI4" i="4"/>
  <c r="AL4" i="4" s="1"/>
  <c r="Z4" i="4"/>
  <c r="Q4" i="4"/>
  <c r="Q35" i="4" s="1"/>
  <c r="I4" i="4"/>
  <c r="AQ71" i="3"/>
  <c r="AN71" i="3"/>
  <c r="AH35" i="3"/>
  <c r="AG35" i="3"/>
  <c r="AF35" i="3"/>
  <c r="AE35" i="3"/>
  <c r="AD35" i="3"/>
  <c r="AC35" i="3"/>
  <c r="AB35" i="3"/>
  <c r="Y35" i="3"/>
  <c r="X35" i="3"/>
  <c r="W35" i="3"/>
  <c r="V35" i="3"/>
  <c r="U35" i="3"/>
  <c r="T35" i="3"/>
  <c r="S35" i="3"/>
  <c r="P35" i="3"/>
  <c r="O35" i="3"/>
  <c r="N35" i="3"/>
  <c r="M35" i="3"/>
  <c r="L35" i="3"/>
  <c r="K35" i="3"/>
  <c r="H35" i="3"/>
  <c r="G35" i="3"/>
  <c r="F35" i="3"/>
  <c r="E35" i="3"/>
  <c r="D35" i="3"/>
  <c r="C35" i="3"/>
  <c r="AI34" i="3"/>
  <c r="Z34" i="3"/>
  <c r="AL34" i="3" s="1"/>
  <c r="Q34" i="3"/>
  <c r="I34" i="3"/>
  <c r="AK34" i="3" s="1"/>
  <c r="AL33" i="3"/>
  <c r="AK33" i="3"/>
  <c r="AM33" i="3" s="1"/>
  <c r="AI33" i="3"/>
  <c r="Z33" i="3"/>
  <c r="Q33" i="3"/>
  <c r="I33" i="3"/>
  <c r="AI32" i="3"/>
  <c r="Z32" i="3"/>
  <c r="AL32" i="3" s="1"/>
  <c r="Q32" i="3"/>
  <c r="I32" i="3"/>
  <c r="AK32" i="3" s="1"/>
  <c r="AM32" i="3" s="1"/>
  <c r="AI31" i="3"/>
  <c r="Z31" i="3"/>
  <c r="AL31" i="3" s="1"/>
  <c r="Q31" i="3"/>
  <c r="I31" i="3"/>
  <c r="AK31" i="3" s="1"/>
  <c r="AM31" i="3" s="1"/>
  <c r="AI30" i="3"/>
  <c r="Z30" i="3"/>
  <c r="AL30" i="3" s="1"/>
  <c r="Q30" i="3"/>
  <c r="AK30" i="3" s="1"/>
  <c r="I30" i="3"/>
  <c r="AI29" i="3"/>
  <c r="Z29" i="3"/>
  <c r="AL29" i="3" s="1"/>
  <c r="Q29" i="3"/>
  <c r="I29" i="3"/>
  <c r="AK29" i="3" s="1"/>
  <c r="AM29" i="3" s="1"/>
  <c r="AK28" i="3"/>
  <c r="AM28" i="3" s="1"/>
  <c r="AI28" i="3"/>
  <c r="AL28" i="3" s="1"/>
  <c r="Z28" i="3"/>
  <c r="Q28" i="3"/>
  <c r="I28" i="3"/>
  <c r="AI27" i="3"/>
  <c r="Z27" i="3"/>
  <c r="AL27" i="3" s="1"/>
  <c r="Q27" i="3"/>
  <c r="I27" i="3"/>
  <c r="AK27" i="3" s="1"/>
  <c r="AM27" i="3" s="1"/>
  <c r="AL26" i="3"/>
  <c r="AI26" i="3"/>
  <c r="Z26" i="3"/>
  <c r="Q26" i="3"/>
  <c r="I26" i="3"/>
  <c r="AK26" i="3" s="1"/>
  <c r="AM26" i="3" s="1"/>
  <c r="AI25" i="3"/>
  <c r="Z25" i="3"/>
  <c r="AL25" i="3" s="1"/>
  <c r="Q25" i="3"/>
  <c r="I25" i="3"/>
  <c r="AK25" i="3" s="1"/>
  <c r="AI24" i="3"/>
  <c r="Z24" i="3"/>
  <c r="AL24" i="3" s="1"/>
  <c r="Q24" i="3"/>
  <c r="I24" i="3"/>
  <c r="AK24" i="3" s="1"/>
  <c r="AK23" i="3"/>
  <c r="AM23" i="3" s="1"/>
  <c r="AI23" i="3"/>
  <c r="Z23" i="3"/>
  <c r="AL23" i="3" s="1"/>
  <c r="Q23" i="3"/>
  <c r="I23" i="3"/>
  <c r="AI22" i="3"/>
  <c r="Z22" i="3"/>
  <c r="AL22" i="3" s="1"/>
  <c r="Q22" i="3"/>
  <c r="I22" i="3"/>
  <c r="AK22" i="3" s="1"/>
  <c r="AM22" i="3" s="1"/>
  <c r="AL21" i="3"/>
  <c r="AK21" i="3"/>
  <c r="AM21" i="3" s="1"/>
  <c r="AI21" i="3"/>
  <c r="Z21" i="3"/>
  <c r="Q21" i="3"/>
  <c r="I21" i="3"/>
  <c r="AI20" i="3"/>
  <c r="Z20" i="3"/>
  <c r="AL20" i="3" s="1"/>
  <c r="Q20" i="3"/>
  <c r="I20" i="3"/>
  <c r="AK20" i="3" s="1"/>
  <c r="AM20" i="3" s="1"/>
  <c r="AI19" i="3"/>
  <c r="Z19" i="3"/>
  <c r="AL19" i="3" s="1"/>
  <c r="Q19" i="3"/>
  <c r="I19" i="3"/>
  <c r="AK19" i="3" s="1"/>
  <c r="AM19" i="3" s="1"/>
  <c r="AI18" i="3"/>
  <c r="Z18" i="3"/>
  <c r="AL18" i="3" s="1"/>
  <c r="Q18" i="3"/>
  <c r="AK18" i="3" s="1"/>
  <c r="AM18" i="3" s="1"/>
  <c r="I18" i="3"/>
  <c r="AI17" i="3"/>
  <c r="Z17" i="3"/>
  <c r="AL17" i="3" s="1"/>
  <c r="Q17" i="3"/>
  <c r="I17" i="3"/>
  <c r="AK17" i="3" s="1"/>
  <c r="AM17" i="3" s="1"/>
  <c r="AK16" i="3"/>
  <c r="AI16" i="3"/>
  <c r="AL16" i="3" s="1"/>
  <c r="Z16" i="3"/>
  <c r="Q16" i="3"/>
  <c r="I16" i="3"/>
  <c r="AI15" i="3"/>
  <c r="Z15" i="3"/>
  <c r="AL15" i="3" s="1"/>
  <c r="Q15" i="3"/>
  <c r="I15" i="3"/>
  <c r="AK15" i="3" s="1"/>
  <c r="AL14" i="3"/>
  <c r="AI14" i="3"/>
  <c r="Z14" i="3"/>
  <c r="Q14" i="3"/>
  <c r="I14" i="3"/>
  <c r="AK14" i="3" s="1"/>
  <c r="AM14" i="3" s="1"/>
  <c r="AI13" i="3"/>
  <c r="Z13" i="3"/>
  <c r="AL13" i="3" s="1"/>
  <c r="Q13" i="3"/>
  <c r="I13" i="3"/>
  <c r="AK13" i="3" s="1"/>
  <c r="AI12" i="3"/>
  <c r="Z12" i="3"/>
  <c r="AL12" i="3" s="1"/>
  <c r="Q12" i="3"/>
  <c r="I12" i="3"/>
  <c r="AK12" i="3" s="1"/>
  <c r="AM12" i="3" s="1"/>
  <c r="AK11" i="3"/>
  <c r="AM11" i="3" s="1"/>
  <c r="AI11" i="3"/>
  <c r="Z11" i="3"/>
  <c r="AL11" i="3" s="1"/>
  <c r="Q11" i="3"/>
  <c r="I11" i="3"/>
  <c r="AI10" i="3"/>
  <c r="Z10" i="3"/>
  <c r="AL10" i="3" s="1"/>
  <c r="Q10" i="3"/>
  <c r="I10" i="3"/>
  <c r="AK10" i="3" s="1"/>
  <c r="AM10" i="3" s="1"/>
  <c r="AL9" i="3"/>
  <c r="AK9" i="3"/>
  <c r="AM9" i="3" s="1"/>
  <c r="AI9" i="3"/>
  <c r="Z9" i="3"/>
  <c r="Q9" i="3"/>
  <c r="I9" i="3"/>
  <c r="AI8" i="3"/>
  <c r="Z8" i="3"/>
  <c r="AL8" i="3" s="1"/>
  <c r="Q8" i="3"/>
  <c r="I8" i="3"/>
  <c r="AK8" i="3" s="1"/>
  <c r="AI7" i="3"/>
  <c r="Z7" i="3"/>
  <c r="AL7" i="3" s="1"/>
  <c r="Q7" i="3"/>
  <c r="I7" i="3"/>
  <c r="AK7" i="3" s="1"/>
  <c r="AI6" i="3"/>
  <c r="Z6" i="3"/>
  <c r="AL6" i="3" s="1"/>
  <c r="Q6" i="3"/>
  <c r="AK6" i="3" s="1"/>
  <c r="AM6" i="3" s="1"/>
  <c r="I6" i="3"/>
  <c r="AI5" i="3"/>
  <c r="Z5" i="3"/>
  <c r="Z35" i="3" s="1"/>
  <c r="Q5" i="3"/>
  <c r="I5" i="3"/>
  <c r="I35" i="3" s="1"/>
  <c r="AK4" i="3"/>
  <c r="AI4" i="3"/>
  <c r="AL4" i="3" s="1"/>
  <c r="Z4" i="3"/>
  <c r="Q4" i="3"/>
  <c r="Q35" i="3" s="1"/>
  <c r="I4" i="3"/>
  <c r="AG69" i="2"/>
  <c r="AD69" i="2"/>
  <c r="AM43" i="2"/>
  <c r="AH35" i="2"/>
  <c r="AG35" i="2"/>
  <c r="AF35" i="2"/>
  <c r="AE35" i="2"/>
  <c r="AD35" i="2"/>
  <c r="AC35" i="2"/>
  <c r="AB35" i="2"/>
  <c r="Y35" i="2"/>
  <c r="X35" i="2"/>
  <c r="W35" i="2"/>
  <c r="V35" i="2"/>
  <c r="U35" i="2"/>
  <c r="T35" i="2"/>
  <c r="S35" i="2"/>
  <c r="P35" i="2"/>
  <c r="O35" i="2"/>
  <c r="N35" i="2"/>
  <c r="M35" i="2"/>
  <c r="L35" i="2"/>
  <c r="K35" i="2"/>
  <c r="H35" i="2"/>
  <c r="G35" i="2"/>
  <c r="F35" i="2"/>
  <c r="E35" i="2"/>
  <c r="D35" i="2"/>
  <c r="C35" i="2"/>
  <c r="AI34" i="2"/>
  <c r="Z34" i="2"/>
  <c r="AL34" i="2" s="1"/>
  <c r="Q34" i="2"/>
  <c r="AK34" i="2" s="1"/>
  <c r="AM34" i="2" s="1"/>
  <c r="I34" i="2"/>
  <c r="AI33" i="2"/>
  <c r="Z33" i="2"/>
  <c r="AL33" i="2" s="1"/>
  <c r="Q33" i="2"/>
  <c r="I33" i="2"/>
  <c r="AK33" i="2" s="1"/>
  <c r="AM33" i="2" s="1"/>
  <c r="AK32" i="2"/>
  <c r="AM32" i="2" s="1"/>
  <c r="AI32" i="2"/>
  <c r="AL32" i="2" s="1"/>
  <c r="Z32" i="2"/>
  <c r="Q32" i="2"/>
  <c r="I32" i="2"/>
  <c r="AI31" i="2"/>
  <c r="Z31" i="2"/>
  <c r="AL31" i="2" s="1"/>
  <c r="Q31" i="2"/>
  <c r="I31" i="2"/>
  <c r="AK31" i="2" s="1"/>
  <c r="AL30" i="2"/>
  <c r="AI30" i="2"/>
  <c r="Z30" i="2"/>
  <c r="Q30" i="2"/>
  <c r="I30" i="2"/>
  <c r="AK30" i="2" s="1"/>
  <c r="AM30" i="2" s="1"/>
  <c r="AI29" i="2"/>
  <c r="Z29" i="2"/>
  <c r="AL29" i="2" s="1"/>
  <c r="Q29" i="2"/>
  <c r="I29" i="2"/>
  <c r="AK29" i="2" s="1"/>
  <c r="AI28" i="2"/>
  <c r="Z28" i="2"/>
  <c r="AL28" i="2" s="1"/>
  <c r="Q28" i="2"/>
  <c r="I28" i="2"/>
  <c r="AK28" i="2" s="1"/>
  <c r="AK27" i="2"/>
  <c r="AI27" i="2"/>
  <c r="Z27" i="2"/>
  <c r="AL27" i="2" s="1"/>
  <c r="Q27" i="2"/>
  <c r="I27" i="2"/>
  <c r="AI26" i="2"/>
  <c r="Z26" i="2"/>
  <c r="AL26" i="2" s="1"/>
  <c r="Q26" i="2"/>
  <c r="I26" i="2"/>
  <c r="AK26" i="2" s="1"/>
  <c r="AL25" i="2"/>
  <c r="AK25" i="2"/>
  <c r="AM25" i="2" s="1"/>
  <c r="AI25" i="2"/>
  <c r="Z25" i="2"/>
  <c r="Q25" i="2"/>
  <c r="I25" i="2"/>
  <c r="AI24" i="2"/>
  <c r="Z24" i="2"/>
  <c r="AL24" i="2" s="1"/>
  <c r="Q24" i="2"/>
  <c r="I24" i="2"/>
  <c r="AK24" i="2" s="1"/>
  <c r="AM24" i="2" s="1"/>
  <c r="AI23" i="2"/>
  <c r="Z23" i="2"/>
  <c r="AL23" i="2" s="1"/>
  <c r="Q23" i="2"/>
  <c r="I23" i="2"/>
  <c r="AK23" i="2" s="1"/>
  <c r="AI22" i="2"/>
  <c r="Z22" i="2"/>
  <c r="AL22" i="2" s="1"/>
  <c r="Q22" i="2"/>
  <c r="AK22" i="2" s="1"/>
  <c r="AM22" i="2" s="1"/>
  <c r="I22" i="2"/>
  <c r="AI21" i="2"/>
  <c r="Z21" i="2"/>
  <c r="AL21" i="2" s="1"/>
  <c r="Q21" i="2"/>
  <c r="I21" i="2"/>
  <c r="AK21" i="2" s="1"/>
  <c r="AM21" i="2" s="1"/>
  <c r="AK20" i="2"/>
  <c r="AI20" i="2"/>
  <c r="AL20" i="2" s="1"/>
  <c r="Z20" i="2"/>
  <c r="Q20" i="2"/>
  <c r="I20" i="2"/>
  <c r="AI19" i="2"/>
  <c r="Z19" i="2"/>
  <c r="AL19" i="2" s="1"/>
  <c r="Q19" i="2"/>
  <c r="I19" i="2"/>
  <c r="AK19" i="2" s="1"/>
  <c r="AM19" i="2" s="1"/>
  <c r="AL18" i="2"/>
  <c r="AI18" i="2"/>
  <c r="Z18" i="2"/>
  <c r="Q18" i="2"/>
  <c r="I18" i="2"/>
  <c r="AK18" i="2" s="1"/>
  <c r="AM18" i="2" s="1"/>
  <c r="AI17" i="2"/>
  <c r="Z17" i="2"/>
  <c r="AL17" i="2" s="1"/>
  <c r="Q17" i="2"/>
  <c r="I17" i="2"/>
  <c r="AK17" i="2" s="1"/>
  <c r="AM17" i="2" s="1"/>
  <c r="AI16" i="2"/>
  <c r="Z16" i="2"/>
  <c r="AL16" i="2" s="1"/>
  <c r="Q16" i="2"/>
  <c r="I16" i="2"/>
  <c r="AK16" i="2" s="1"/>
  <c r="AM16" i="2" s="1"/>
  <c r="AK15" i="2"/>
  <c r="AM15" i="2" s="1"/>
  <c r="AI15" i="2"/>
  <c r="Z15" i="2"/>
  <c r="AL15" i="2" s="1"/>
  <c r="Q15" i="2"/>
  <c r="I15" i="2"/>
  <c r="AI14" i="2"/>
  <c r="Z14" i="2"/>
  <c r="AL14" i="2" s="1"/>
  <c r="Q14" i="2"/>
  <c r="I14" i="2"/>
  <c r="AK14" i="2" s="1"/>
  <c r="AM14" i="2" s="1"/>
  <c r="AL13" i="2"/>
  <c r="AK13" i="2"/>
  <c r="AM13" i="2" s="1"/>
  <c r="AI13" i="2"/>
  <c r="Z13" i="2"/>
  <c r="Q13" i="2"/>
  <c r="I13" i="2"/>
  <c r="AI12" i="2"/>
  <c r="Z12" i="2"/>
  <c r="AL12" i="2" s="1"/>
  <c r="Q12" i="2"/>
  <c r="I12" i="2"/>
  <c r="AK12" i="2" s="1"/>
  <c r="AI11" i="2"/>
  <c r="Z11" i="2"/>
  <c r="AL11" i="2" s="1"/>
  <c r="Q11" i="2"/>
  <c r="I11" i="2"/>
  <c r="AK11" i="2" s="1"/>
  <c r="AM11" i="2" s="1"/>
  <c r="AI10" i="2"/>
  <c r="Z10" i="2"/>
  <c r="AL10" i="2" s="1"/>
  <c r="Q10" i="2"/>
  <c r="AK10" i="2" s="1"/>
  <c r="AM10" i="2" s="1"/>
  <c r="I10" i="2"/>
  <c r="AI9" i="2"/>
  <c r="Z9" i="2"/>
  <c r="AL9" i="2" s="1"/>
  <c r="Q9" i="2"/>
  <c r="I9" i="2"/>
  <c r="AK9" i="2" s="1"/>
  <c r="AK8" i="2"/>
  <c r="AI8" i="2"/>
  <c r="AL8" i="2" s="1"/>
  <c r="Z8" i="2"/>
  <c r="Q8" i="2"/>
  <c r="I8" i="2"/>
  <c r="AI7" i="2"/>
  <c r="Z7" i="2"/>
  <c r="AL7" i="2" s="1"/>
  <c r="Q7" i="2"/>
  <c r="I7" i="2"/>
  <c r="AK7" i="2" s="1"/>
  <c r="AL6" i="2"/>
  <c r="AI6" i="2"/>
  <c r="Z6" i="2"/>
  <c r="Q6" i="2"/>
  <c r="I6" i="2"/>
  <c r="AK6" i="2" s="1"/>
  <c r="AM6" i="2" s="1"/>
  <c r="AI5" i="2"/>
  <c r="Z5" i="2"/>
  <c r="AL5" i="2" s="1"/>
  <c r="Q5" i="2"/>
  <c r="I5" i="2"/>
  <c r="AK5" i="2" s="1"/>
  <c r="AI4" i="2"/>
  <c r="AI35" i="2" s="1"/>
  <c r="Z4" i="2"/>
  <c r="AL4" i="2" s="1"/>
  <c r="Q4" i="2"/>
  <c r="Q35" i="2" s="1"/>
  <c r="I4" i="2"/>
  <c r="AK4" i="2" s="1"/>
  <c r="AM5" i="2" l="1"/>
  <c r="AM30" i="3"/>
  <c r="AM11" i="4"/>
  <c r="AM16" i="3"/>
  <c r="AM25" i="3"/>
  <c r="AM12" i="4"/>
  <c r="AM26" i="4"/>
  <c r="AM34" i="4"/>
  <c r="AM8" i="2"/>
  <c r="AM27" i="2"/>
  <c r="AL35" i="4"/>
  <c r="AM42" i="4" s="1"/>
  <c r="AM23" i="4"/>
  <c r="AM9" i="2"/>
  <c r="AM12" i="2"/>
  <c r="AM28" i="2"/>
  <c r="AM7" i="3"/>
  <c r="AM15" i="3"/>
  <c r="AM34" i="3"/>
  <c r="AM4" i="4"/>
  <c r="AM13" i="4"/>
  <c r="AM24" i="4"/>
  <c r="AM27" i="4"/>
  <c r="AM23" i="2"/>
  <c r="AM31" i="2"/>
  <c r="AM5" i="4"/>
  <c r="AK35" i="4"/>
  <c r="AM41" i="4" s="1"/>
  <c r="AM8" i="4"/>
  <c r="AM18" i="4"/>
  <c r="AM4" i="2"/>
  <c r="AK35" i="2"/>
  <c r="AM41" i="2" s="1"/>
  <c r="AM44" i="2" s="1"/>
  <c r="AL35" i="3"/>
  <c r="AM13" i="3"/>
  <c r="AM14" i="4"/>
  <c r="AM22" i="4"/>
  <c r="AM7" i="2"/>
  <c r="AM26" i="2"/>
  <c r="AM4" i="3"/>
  <c r="AL35" i="2"/>
  <c r="AM42" i="2" s="1"/>
  <c r="AM20" i="2"/>
  <c r="AM29" i="2"/>
  <c r="AM8" i="3"/>
  <c r="AM24" i="3"/>
  <c r="I35" i="2"/>
  <c r="Z35" i="2"/>
  <c r="AI35" i="3"/>
  <c r="Z35" i="4"/>
  <c r="AK5" i="3"/>
  <c r="AM5" i="3" s="1"/>
  <c r="I35" i="4"/>
  <c r="AL5" i="3"/>
  <c r="AM35" i="4" l="1"/>
  <c r="AM35" i="2"/>
  <c r="AK35" i="3"/>
  <c r="AM44" i="4"/>
  <c r="AM35" i="3"/>
</calcChain>
</file>

<file path=xl/sharedStrings.xml><?xml version="1.0" encoding="utf-8"?>
<sst xmlns="http://schemas.openxmlformats.org/spreadsheetml/2006/main" count="899" uniqueCount="355">
  <si>
    <t>Date Enrolled</t>
  </si>
  <si>
    <t>Full Name</t>
  </si>
  <si>
    <t>Date of Birth</t>
  </si>
  <si>
    <t>Age</t>
  </si>
  <si>
    <t>Gender</t>
  </si>
  <si>
    <t>Ethnicity/Race</t>
  </si>
  <si>
    <t>Nationality</t>
  </si>
  <si>
    <t>Phone Number</t>
  </si>
  <si>
    <t>Address</t>
  </si>
  <si>
    <t>Email Address</t>
  </si>
  <si>
    <t>Student Type</t>
  </si>
  <si>
    <t>Previous School/Institution</t>
  </si>
  <si>
    <t>Intended Program</t>
  </si>
  <si>
    <t>Year Graduated</t>
  </si>
  <si>
    <t>Residence</t>
  </si>
  <si>
    <t>Religion</t>
  </si>
  <si>
    <t>Financial Assistance</t>
  </si>
  <si>
    <t>2026-05-28</t>
  </si>
  <si>
    <t>Juan dela Cruz</t>
  </si>
  <si>
    <t>01/15/2005</t>
  </si>
  <si>
    <t>20</t>
  </si>
  <si>
    <t>Male</t>
  </si>
  <si>
    <t>Filipino</t>
  </si>
  <si>
    <t>09171234567</t>
  </si>
  <si>
    <t>Pulilan, Bulacan</t>
  </si>
  <si>
    <t>juan@email.com</t>
  </si>
  <si>
    <t>New</t>
  </si>
  <si>
    <t>Pulilan NHS</t>
  </si>
  <si>
    <t>BSIT</t>
  </si>
  <si>
    <t>2023</t>
  </si>
  <si>
    <t>Pulilan</t>
  </si>
  <si>
    <t>Catholic</t>
  </si>
  <si>
    <t>No</t>
  </si>
  <si>
    <t>Enrolment Status Report</t>
  </si>
  <si>
    <t>Total Basic</t>
  </si>
  <si>
    <t>Total College</t>
  </si>
  <si>
    <t xml:space="preserve">TOTAL </t>
  </si>
  <si>
    <t>Basic Ed (NEW STUDENTS)</t>
  </si>
  <si>
    <t>Basic Ed (OLD STUDENTS)</t>
  </si>
  <si>
    <t>College (NEW STUDENTS)</t>
  </si>
  <si>
    <t>College (OLD STUDENTS)</t>
  </si>
  <si>
    <t xml:space="preserve">G7 </t>
  </si>
  <si>
    <t>G8</t>
  </si>
  <si>
    <t>G9</t>
  </si>
  <si>
    <t>G10</t>
  </si>
  <si>
    <t>G11</t>
  </si>
  <si>
    <t>G12</t>
  </si>
  <si>
    <t xml:space="preserve">Total </t>
  </si>
  <si>
    <t>BSRT</t>
  </si>
  <si>
    <t>BSCRIM</t>
  </si>
  <si>
    <t>BSBA/BSA</t>
  </si>
  <si>
    <t>BSHM</t>
  </si>
  <si>
    <t>BSTM</t>
  </si>
  <si>
    <t>EDUC</t>
  </si>
  <si>
    <t xml:space="preserve">EDUC </t>
  </si>
  <si>
    <t>Total</t>
  </si>
  <si>
    <t>date</t>
  </si>
  <si>
    <t>Mon</t>
  </si>
  <si>
    <t>Tue</t>
  </si>
  <si>
    <t>Wed</t>
  </si>
  <si>
    <t>Thu</t>
  </si>
  <si>
    <t>Fri</t>
  </si>
  <si>
    <t>Sat</t>
  </si>
  <si>
    <t>Sun</t>
  </si>
  <si>
    <t>Previous School Attended</t>
  </si>
  <si>
    <t>Residency</t>
  </si>
  <si>
    <t xml:space="preserve">Students with unspecified program. </t>
  </si>
  <si>
    <t xml:space="preserve">Other Information </t>
  </si>
  <si>
    <t xml:space="preserve">Academia de Pulilan </t>
  </si>
  <si>
    <t>Apalit</t>
  </si>
  <si>
    <t xml:space="preserve">Basic Ed </t>
  </si>
  <si>
    <t xml:space="preserve">College </t>
  </si>
  <si>
    <t>ADH</t>
  </si>
  <si>
    <t xml:space="preserve">Balagtas </t>
  </si>
  <si>
    <t xml:space="preserve">Religion </t>
  </si>
  <si>
    <t xml:space="preserve">Catholic </t>
  </si>
  <si>
    <t>Agnaya</t>
  </si>
  <si>
    <t xml:space="preserve">Baliuag </t>
  </si>
  <si>
    <t xml:space="preserve">RUNNING TOTAL </t>
  </si>
  <si>
    <t xml:space="preserve">Christian </t>
  </si>
  <si>
    <t>AGSNHS</t>
  </si>
  <si>
    <t xml:space="preserve">Bocaue </t>
  </si>
  <si>
    <t xml:space="preserve">BASIC EDUCATION </t>
  </si>
  <si>
    <t xml:space="preserve">Muslim </t>
  </si>
  <si>
    <t>Aguinaldo Santos</t>
  </si>
  <si>
    <t xml:space="preserve">Bulakan </t>
  </si>
  <si>
    <t xml:space="preserve">COLLEGE </t>
  </si>
  <si>
    <t xml:space="preserve">Iglesia </t>
  </si>
  <si>
    <t xml:space="preserve">AISAT </t>
  </si>
  <si>
    <t xml:space="preserve">Bustos    </t>
  </si>
  <si>
    <t xml:space="preserve">UNSPECIFIED </t>
  </si>
  <si>
    <t xml:space="preserve">Babtist </t>
  </si>
  <si>
    <t>Alexis santos NHS</t>
  </si>
  <si>
    <t xml:space="preserve">Calumpit </t>
  </si>
  <si>
    <t>Methodist</t>
  </si>
  <si>
    <t>Alexs Santos NHS</t>
  </si>
  <si>
    <t xml:space="preserve">Guiguinto </t>
  </si>
  <si>
    <t>Adventist</t>
  </si>
  <si>
    <t>ALLC</t>
  </si>
  <si>
    <t xml:space="preserve">Hagonoy </t>
  </si>
  <si>
    <t>Not specified</t>
  </si>
  <si>
    <t>AMA</t>
  </si>
  <si>
    <t xml:space="preserve">Malolos </t>
  </si>
  <si>
    <t>Jehova's withness</t>
  </si>
  <si>
    <t>Ameniel</t>
  </si>
  <si>
    <t>Manila</t>
  </si>
  <si>
    <t xml:space="preserve">MCGI </t>
  </si>
  <si>
    <t>Angat NHS</t>
  </si>
  <si>
    <t xml:space="preserve">Marilao </t>
  </si>
  <si>
    <t>LOS</t>
  </si>
  <si>
    <t>Apalit SHS</t>
  </si>
  <si>
    <t>Meycauayan</t>
  </si>
  <si>
    <t>Full chapel</t>
  </si>
  <si>
    <t>Asian institute</t>
  </si>
  <si>
    <t>Santa Maria</t>
  </si>
  <si>
    <t>Protestant</t>
  </si>
  <si>
    <t>ASNHS</t>
  </si>
  <si>
    <t xml:space="preserve">Pampanga </t>
  </si>
  <si>
    <t>Alipay</t>
  </si>
  <si>
    <t>Atech College</t>
  </si>
  <si>
    <t xml:space="preserve">Pandi </t>
  </si>
  <si>
    <t>AU</t>
  </si>
  <si>
    <t xml:space="preserve">Paombong </t>
  </si>
  <si>
    <t xml:space="preserve">Bajet </t>
  </si>
  <si>
    <t xml:space="preserve">Plaridel </t>
  </si>
  <si>
    <t>Baliuag politechnic</t>
  </si>
  <si>
    <t xml:space="preserve">Pulilan </t>
  </si>
  <si>
    <t>Banga 2nd</t>
  </si>
  <si>
    <t xml:space="preserve">San Ildefonso </t>
  </si>
  <si>
    <t>Banga HS</t>
  </si>
  <si>
    <t xml:space="preserve">San Miguel </t>
  </si>
  <si>
    <t>BASC</t>
  </si>
  <si>
    <t xml:space="preserve">San Rafael </t>
  </si>
  <si>
    <t>Bayan luma ES</t>
  </si>
  <si>
    <t>DRT</t>
  </si>
  <si>
    <t>Bestlink</t>
  </si>
  <si>
    <t xml:space="preserve">Others: </t>
  </si>
  <si>
    <t>Bigay NHS</t>
  </si>
  <si>
    <t>Binulasan IS</t>
  </si>
  <si>
    <t>Bislig City NHS</t>
  </si>
  <si>
    <t>Bondok HS</t>
  </si>
  <si>
    <t>Bridgena christian AC</t>
  </si>
  <si>
    <t>BSU</t>
  </si>
  <si>
    <t>Btech</t>
  </si>
  <si>
    <t>Busangan NHS</t>
  </si>
  <si>
    <t>Busok</t>
  </si>
  <si>
    <t>Calumpang calumpit NHS</t>
  </si>
  <si>
    <t>Calumpit NHS</t>
  </si>
  <si>
    <t>Cambay</t>
  </si>
  <si>
    <t>Caniogan NHS</t>
  </si>
  <si>
    <t>Carlos F. Gonzalez</t>
  </si>
  <si>
    <t>Ceneter Scholar University</t>
  </si>
  <si>
    <t>Colegio De San martin</t>
  </si>
  <si>
    <t>Colegion De Santa Phe</t>
  </si>
  <si>
    <t>Corazon Aquino HS</t>
  </si>
  <si>
    <t>Cristina Dela cruz</t>
  </si>
  <si>
    <t>Dampol</t>
  </si>
  <si>
    <t>Dangasiran NHS</t>
  </si>
  <si>
    <t>Dionisio Memorial HS</t>
  </si>
  <si>
    <t>DIST Balagtas</t>
  </si>
  <si>
    <t>Dr. felipe De jesus NHS</t>
  </si>
  <si>
    <t xml:space="preserve">DRr. Yanga </t>
  </si>
  <si>
    <t>Eclaro Academy inc</t>
  </si>
  <si>
    <t>Emmanuel system college</t>
  </si>
  <si>
    <t>Escual de angela marici</t>
  </si>
  <si>
    <t>Faith Adventist academy</t>
  </si>
  <si>
    <t>Felizardo NHS</t>
  </si>
  <si>
    <t xml:space="preserve">Fernandez </t>
  </si>
  <si>
    <t>Fort Bonifacio NHS</t>
  </si>
  <si>
    <t>Gallanosa NHS</t>
  </si>
  <si>
    <t>Godwins monte</t>
  </si>
  <si>
    <t>Gold minds</t>
  </si>
  <si>
    <t>NHS</t>
  </si>
  <si>
    <t>Golden Minds College</t>
  </si>
  <si>
    <t>Guiguinton VHS</t>
  </si>
  <si>
    <t xml:space="preserve">Haosrai </t>
  </si>
  <si>
    <t>Holy child AC</t>
  </si>
  <si>
    <t>IBA NHS</t>
  </si>
  <si>
    <t>ICI Balagtas</t>
  </si>
  <si>
    <t>ICI balagtas</t>
  </si>
  <si>
    <t xml:space="preserve">Ilying Angely Christian academy </t>
  </si>
  <si>
    <t>Imaculate Cinception HIS</t>
  </si>
  <si>
    <t>Intergreated College</t>
  </si>
  <si>
    <t>IVA NHS</t>
  </si>
  <si>
    <t>Jaime J. Vista HS</t>
  </si>
  <si>
    <t>Japan Php Institute</t>
  </si>
  <si>
    <t>Jose Mariano</t>
  </si>
  <si>
    <t xml:space="preserve">La Consolation </t>
  </si>
  <si>
    <t>Laura de leo n Halili HS</t>
  </si>
  <si>
    <t xml:space="preserve">Dominic </t>
  </si>
  <si>
    <t>City  of Malolos Integrated school</t>
  </si>
  <si>
    <t xml:space="preserve">Frances National high school </t>
  </si>
  <si>
    <t xml:space="preserve">San Ildefonso national high school </t>
  </si>
  <si>
    <t>Dilingan NHS</t>
  </si>
  <si>
    <t xml:space="preserve">Lawaan </t>
  </si>
  <si>
    <t>Lipana NHS</t>
  </si>
  <si>
    <t>Lord angels Montesory</t>
  </si>
  <si>
    <t>LYDIA TRADE SCHOOL</t>
  </si>
  <si>
    <t xml:space="preserve">Malolos School </t>
  </si>
  <si>
    <t>Manila catidral School INC</t>
  </si>
  <si>
    <t>Marcello NHS</t>
  </si>
  <si>
    <t xml:space="preserve">Maria college of Baliuag </t>
  </si>
  <si>
    <t>Mariano DelRMES</t>
  </si>
  <si>
    <t>Marlan</t>
  </si>
  <si>
    <t>Mary Chiles</t>
  </si>
  <si>
    <t>Mary college of art</t>
  </si>
  <si>
    <t>Maximo Strella HGH S</t>
  </si>
  <si>
    <t>Memorial NHS</t>
  </si>
  <si>
    <t>MHPI</t>
  </si>
  <si>
    <t>MHPNHS</t>
  </si>
  <si>
    <t>Next gen</t>
  </si>
  <si>
    <t>Notre Christi Ac of the phi</t>
  </si>
  <si>
    <t>NU</t>
  </si>
  <si>
    <t>Nuestra Seniora AB</t>
  </si>
  <si>
    <t>OLM</t>
  </si>
  <si>
    <t>OLM of science and tech inc</t>
  </si>
  <si>
    <t>Our lady of fatima</t>
  </si>
  <si>
    <t xml:space="preserve">Our lady or MF carmen </t>
  </si>
  <si>
    <t>Pambaya  DM</t>
  </si>
  <si>
    <t>PBC Sunbean School</t>
  </si>
  <si>
    <t>PCCAN</t>
  </si>
  <si>
    <t>Plaridel ES</t>
  </si>
  <si>
    <t>Polytechnic</t>
  </si>
  <si>
    <t>Polytechnic College</t>
  </si>
  <si>
    <t>PQVIA NHS</t>
  </si>
  <si>
    <t>Publacion plaridel</t>
  </si>
  <si>
    <t>PUP</t>
  </si>
  <si>
    <t xml:space="preserve">Richwell </t>
  </si>
  <si>
    <t>SACS</t>
  </si>
  <si>
    <t>Saint. John</t>
  </si>
  <si>
    <t>San Francisco HS</t>
  </si>
  <si>
    <t>San Jose ES</t>
  </si>
  <si>
    <t>San Meguil NHS</t>
  </si>
  <si>
    <t>San miguel NHs</t>
  </si>
  <si>
    <t>San rafael NHS</t>
  </si>
  <si>
    <t>San. Pedro NHS</t>
  </si>
  <si>
    <t>San. Roque HS</t>
  </si>
  <si>
    <t>Santisima trinidad HS</t>
  </si>
  <si>
    <t>SATI Malolos</t>
  </si>
  <si>
    <t>Sister Of Mary INC</t>
  </si>
  <si>
    <t>Solid Ground HS</t>
  </si>
  <si>
    <t>St albert</t>
  </si>
  <si>
    <t>St. amatiel</t>
  </si>
  <si>
    <t>St. Cristo ES</t>
  </si>
  <si>
    <t xml:space="preserve">St. Dominic </t>
  </si>
  <si>
    <t>St. james</t>
  </si>
  <si>
    <t xml:space="preserve">St. jean baptist </t>
  </si>
  <si>
    <t>St. John the babtist chatolic school</t>
  </si>
  <si>
    <t xml:space="preserve">ST. Joseph of baliuag </t>
  </si>
  <si>
    <t>ST. Jude College</t>
  </si>
  <si>
    <t>St. lawrence INC.</t>
  </si>
  <si>
    <t>St. Mark College</t>
  </si>
  <si>
    <t>St. martin</t>
  </si>
  <si>
    <t>St. Mary colllege of Bal</t>
  </si>
  <si>
    <t xml:space="preserve">St. michelle Academy </t>
  </si>
  <si>
    <t>St. monica NHS</t>
  </si>
  <si>
    <t>ST. Pergina HS</t>
  </si>
  <si>
    <t xml:space="preserve">St. Philomina </t>
  </si>
  <si>
    <t>St.amatiel tech</t>
  </si>
  <si>
    <t>St.Clemente</t>
  </si>
  <si>
    <t>St.james</t>
  </si>
  <si>
    <t>St.john</t>
  </si>
  <si>
    <t>St.lawrence   NHS</t>
  </si>
  <si>
    <t>ST.Nino HS</t>
  </si>
  <si>
    <t>Sta.lucia NHS</t>
  </si>
  <si>
    <t>STI</t>
  </si>
  <si>
    <t>Taal HS</t>
  </si>
  <si>
    <t>Tabang</t>
  </si>
  <si>
    <t>Tech gen</t>
  </si>
  <si>
    <t>Tiong NHS</t>
  </si>
  <si>
    <t>TSI</t>
  </si>
  <si>
    <t>Virgilio MHS</t>
  </si>
  <si>
    <t>Vtech</t>
  </si>
  <si>
    <t>Yanga College</t>
  </si>
  <si>
    <t>FCAT</t>
  </si>
  <si>
    <t xml:space="preserve">Morter Christian academy of the PH </t>
  </si>
  <si>
    <t>Montessio De sa Rafael Inc…</t>
  </si>
  <si>
    <t>National Vocaitonal Highschool (main)</t>
  </si>
  <si>
    <t>Maria college of Baliuag</t>
  </si>
  <si>
    <t>La Consolation</t>
  </si>
  <si>
    <t>Baliwag Maritime Academy</t>
  </si>
  <si>
    <t>Bajet</t>
  </si>
  <si>
    <t>DRr. Yanga</t>
  </si>
  <si>
    <t>Balucuc National Highschool</t>
  </si>
  <si>
    <t>ACLC College of Baliuag</t>
  </si>
  <si>
    <t>St. Francis de Assisi</t>
  </si>
  <si>
    <t>Academia de Pulilan</t>
  </si>
  <si>
    <t>AISAT</t>
  </si>
  <si>
    <t>Our lady or MF carmen</t>
  </si>
  <si>
    <t xml:space="preserve">Not Specified </t>
  </si>
  <si>
    <t xml:space="preserve">Previous School Attended </t>
  </si>
  <si>
    <t>Previous School</t>
  </si>
  <si>
    <t>Count</t>
  </si>
  <si>
    <t>Our Lady of Laurdes College</t>
  </si>
  <si>
    <t>La Consolation University of the Philippines</t>
  </si>
  <si>
    <t>Dampol 1st National High School</t>
  </si>
  <si>
    <t>Bajet Castillo High School</t>
  </si>
  <si>
    <t>Sta. Pergina High School</t>
  </si>
  <si>
    <t>Baliuag University</t>
  </si>
  <si>
    <t>San Rafael National Trade School</t>
  </si>
  <si>
    <t>Jesus Is Lord Colleges Foundation</t>
  </si>
  <si>
    <t>Cambaog National High School</t>
  </si>
  <si>
    <t>Dr. Felipe de Jesus National High School</t>
  </si>
  <si>
    <t>San Ildefonso National High School</t>
  </si>
  <si>
    <t>ATEC Technological College</t>
  </si>
  <si>
    <t>Plaridel Elementary School</t>
  </si>
  <si>
    <t>Engr. Virgilio V. Dionisio Memorial High School</t>
  </si>
  <si>
    <t>LKBP Montessori School</t>
  </si>
  <si>
    <t>Immaculate Conception International</t>
  </si>
  <si>
    <t>Baliwag Polytechnic College</t>
  </si>
  <si>
    <t>Colegio de Santa Philomena</t>
  </si>
  <si>
    <t>Banga High School</t>
  </si>
  <si>
    <t>San Miguel National High School</t>
  </si>
  <si>
    <t>PHINMA Araullo University</t>
  </si>
  <si>
    <t>St. Jude College of Bulacan</t>
  </si>
  <si>
    <t>Jaime J. Vistan High School</t>
  </si>
  <si>
    <t>Emmanuel System College of Bulacan Inc.</t>
  </si>
  <si>
    <t>Lope National High School</t>
  </si>
  <si>
    <t>Carlos F. Gonzales High School</t>
  </si>
  <si>
    <t>Bulacan State University</t>
  </si>
  <si>
    <t>Mariano Ponce National High School</t>
  </si>
  <si>
    <t>Dampol 2nd National High School</t>
  </si>
  <si>
    <t>Guiguinton Vocational National High School</t>
  </si>
  <si>
    <t>Living Angels Christian Academy</t>
  </si>
  <si>
    <t>PHINMA UPANG College Urdaneta</t>
  </si>
  <si>
    <t>Sto. Rosario National Highschool</t>
  </si>
  <si>
    <t>San Pedro National High School</t>
  </si>
  <si>
    <t>Felizardo Nationa High School</t>
  </si>
  <si>
    <t>Goldenville School of Montessori</t>
  </si>
  <si>
    <t>Golden Faith Academy</t>
  </si>
  <si>
    <t>Bulacan Polytechnic College</t>
  </si>
  <si>
    <t>Dr, Felipe De Jesus National High School</t>
  </si>
  <si>
    <t>Bagabag National High School</t>
  </si>
  <si>
    <t>National University</t>
  </si>
  <si>
    <t>Herminio G. Nicolas High School</t>
  </si>
  <si>
    <t>Municipality / Residency</t>
  </si>
  <si>
    <t>Plaridel</t>
  </si>
  <si>
    <t>Malolos</t>
  </si>
  <si>
    <t>Baliuag</t>
  </si>
  <si>
    <t>Guiguinto</t>
  </si>
  <si>
    <t>Bulakan</t>
  </si>
  <si>
    <t>Pandi</t>
  </si>
  <si>
    <t>Bustos</t>
  </si>
  <si>
    <t>San Rafael</t>
  </si>
  <si>
    <t>Bocaue</t>
  </si>
  <si>
    <t>Calumpit</t>
  </si>
  <si>
    <t>Paombong</t>
  </si>
  <si>
    <t>San Ildefonso</t>
  </si>
  <si>
    <t>Pampanga</t>
  </si>
  <si>
    <t>Hagonoy</t>
  </si>
  <si>
    <t>Balagtas</t>
  </si>
  <si>
    <t>Hagunoy</t>
  </si>
  <si>
    <t>Marilao</t>
  </si>
  <si>
    <t>Angat</t>
  </si>
  <si>
    <t>Alexis G. Santos National High 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</si>
</sst>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4"/>
      <color theme="1"/>
      <name val="Times New Roman"/>
      <family val="1"/>
    </font>
    <font>
      <b/>
      <sz val="16"/>
      <color rgb="FFFF0000"/>
      <name val="Times New Roman"/>
      <family val="1"/>
    </font>
    <font>
      <sz val="16"/>
      <color theme="1"/>
      <name val="Times New Roman"/>
      <family val="1"/>
    </font>
    <font>
      <b/>
      <sz val="10"/>
      <color rgb="FFFFFFFF"/>
      <name val="Arial"/>
    </font>
    <font>
      <sz val="10"/>
      <name val="Arial"/>
    </font>
    <font>
      <sz val="14"/>
      <name val="Times New Roman"/>
      <family val="1"/>
    </font>
    <font>
      <sz val="14"/>
      <name val="Arial"/>
      <family val="2"/>
    </font>
    <font>
      <sz val="11"/>
      <color theme="1"/>
      <name val="Times New Roman"/>
      <family val="1"/>
    </font>
    <font>
      <b/>
      <sz val="10"/>
      <color rgb="FFFFFFFF"/>
      <name val="Arial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F4E79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rgb="FF1F4E79"/>
      </patternFill>
    </fill>
  </fills>
  <borders count="4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theme="7" tint="0.39997558519241921"/>
      </bottom>
      <diagonal/>
    </border>
    <border>
      <left/>
      <right/>
      <top style="thin">
        <color auto="1"/>
      </top>
      <bottom style="thin">
        <color theme="7" tint="0.39997558519241921"/>
      </bottom>
      <diagonal/>
    </border>
    <border>
      <left style="thin">
        <color auto="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theme="7" tint="0.39997558519241921"/>
      </top>
      <bottom/>
      <diagonal/>
    </border>
    <border>
      <left style="thin">
        <color auto="1"/>
      </left>
      <right style="thin">
        <color auto="1"/>
      </right>
      <top style="thin">
        <color theme="7" tint="0.39997558519241921"/>
      </top>
      <bottom style="thin">
        <color indexed="64"/>
      </bottom>
      <diagonal/>
    </border>
    <border>
      <left style="thin">
        <color auto="1"/>
      </left>
      <right/>
      <top style="thin">
        <color theme="7" tint="0.39997558519241921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7" tint="0.39997558519241921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5">
    <xf numFmtId="0" fontId="0" fillId="0" borderId="0" xfId="0"/>
    <xf numFmtId="0" fontId="2" fillId="3" borderId="8" xfId="0" applyFont="1" applyFill="1" applyBorder="1" applyProtection="1">
      <protection locked="0"/>
    </xf>
    <xf numFmtId="0" fontId="2" fillId="0" borderId="10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6" borderId="2" xfId="0" applyFont="1" applyFill="1" applyBorder="1" applyProtection="1">
      <protection locked="0"/>
    </xf>
    <xf numFmtId="0" fontId="2" fillId="6" borderId="12" xfId="0" applyFont="1" applyFill="1" applyBorder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3" borderId="0" xfId="0" applyFont="1" applyFill="1" applyProtection="1">
      <protection locked="0"/>
    </xf>
    <xf numFmtId="0" fontId="2" fillId="0" borderId="13" xfId="0" applyFont="1" applyBorder="1" applyAlignment="1" applyProtection="1">
      <alignment horizontal="center"/>
      <protection locked="0"/>
    </xf>
    <xf numFmtId="17" fontId="5" fillId="2" borderId="14" xfId="0" applyNumberFormat="1" applyFont="1" applyFill="1" applyBorder="1" applyAlignment="1" applyProtection="1">
      <alignment horizontal="center"/>
      <protection locked="0"/>
    </xf>
    <xf numFmtId="0" fontId="2" fillId="0" borderId="4" xfId="0" applyFont="1" applyBorder="1" applyAlignment="1" applyProtection="1">
      <alignment horizontal="center"/>
      <protection locked="0"/>
    </xf>
    <xf numFmtId="0" fontId="2" fillId="0" borderId="5" xfId="0" applyFont="1" applyBorder="1" applyAlignment="1" applyProtection="1">
      <alignment horizontal="center"/>
      <protection locked="0"/>
    </xf>
    <xf numFmtId="0" fontId="2" fillId="7" borderId="5" xfId="0" applyFont="1" applyFill="1" applyBorder="1" applyAlignment="1" applyProtection="1">
      <alignment horizontal="center"/>
      <protection locked="0"/>
    </xf>
    <xf numFmtId="0" fontId="2" fillId="6" borderId="1" xfId="0" applyFont="1" applyFill="1" applyBorder="1" applyAlignment="1" applyProtection="1">
      <alignment horizontal="center"/>
      <protection locked="0"/>
    </xf>
    <xf numFmtId="0" fontId="2" fillId="8" borderId="5" xfId="0" applyFont="1" applyFill="1" applyBorder="1" applyAlignment="1" applyProtection="1">
      <alignment horizontal="center"/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0" borderId="11" xfId="0" applyFont="1" applyBorder="1" applyAlignment="1" applyProtection="1">
      <alignment horizontal="right"/>
      <protection locked="0"/>
    </xf>
    <xf numFmtId="0" fontId="2" fillId="7" borderId="2" xfId="0" applyFont="1" applyFill="1" applyBorder="1"/>
    <xf numFmtId="0" fontId="2" fillId="6" borderId="0" xfId="0" applyFont="1" applyFill="1" applyProtection="1">
      <protection locked="0"/>
    </xf>
    <xf numFmtId="0" fontId="2" fillId="6" borderId="1" xfId="0" applyFont="1" applyFill="1" applyBorder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8" borderId="2" xfId="0" applyFont="1" applyFill="1" applyBorder="1"/>
    <xf numFmtId="0" fontId="2" fillId="3" borderId="1" xfId="0" applyFont="1" applyFill="1" applyBorder="1" applyProtection="1">
      <protection locked="0"/>
    </xf>
    <xf numFmtId="0" fontId="2" fillId="7" borderId="9" xfId="0" applyFont="1" applyFill="1" applyBorder="1"/>
    <xf numFmtId="0" fontId="2" fillId="8" borderId="9" xfId="0" applyFont="1" applyFill="1" applyBorder="1"/>
    <xf numFmtId="0" fontId="2" fillId="7" borderId="5" xfId="0" applyFont="1" applyFill="1" applyBorder="1"/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8" borderId="5" xfId="0" applyFont="1" applyFill="1" applyBorder="1"/>
    <xf numFmtId="0" fontId="6" fillId="0" borderId="16" xfId="0" applyFont="1" applyBorder="1" applyAlignment="1" applyProtection="1">
      <alignment horizontal="center"/>
      <protection locked="0"/>
    </xf>
    <xf numFmtId="0" fontId="7" fillId="0" borderId="17" xfId="0" applyFont="1" applyBorder="1" applyAlignment="1" applyProtection="1">
      <alignment horizontal="center"/>
      <protection locked="0"/>
    </xf>
    <xf numFmtId="0" fontId="7" fillId="9" borderId="18" xfId="0" applyFont="1" applyFill="1" applyBorder="1"/>
    <xf numFmtId="0" fontId="7" fillId="9" borderId="17" xfId="0" applyFont="1" applyFill="1" applyBorder="1"/>
    <xf numFmtId="0" fontId="7" fillId="9" borderId="19" xfId="0" applyFont="1" applyFill="1" applyBorder="1"/>
    <xf numFmtId="0" fontId="2" fillId="3" borderId="20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7" fillId="9" borderId="21" xfId="0" applyFont="1" applyFill="1" applyBorder="1"/>
    <xf numFmtId="0" fontId="2" fillId="0" borderId="22" xfId="0" applyFont="1" applyBorder="1" applyAlignment="1" applyProtection="1">
      <alignment horizontal="center"/>
      <protection locked="0"/>
    </xf>
    <xf numFmtId="0" fontId="2" fillId="0" borderId="7" xfId="0" applyFont="1" applyBorder="1" applyProtection="1">
      <protection locked="0"/>
    </xf>
    <xf numFmtId="0" fontId="2" fillId="0" borderId="23" xfId="0" applyFont="1" applyBorder="1" applyProtection="1">
      <protection locked="0"/>
    </xf>
    <xf numFmtId="0" fontId="2" fillId="0" borderId="17" xfId="0" applyFont="1" applyBorder="1" applyProtection="1">
      <protection locked="0"/>
    </xf>
    <xf numFmtId="0" fontId="2" fillId="0" borderId="9" xfId="0" applyFont="1" applyBorder="1" applyProtection="1">
      <protection locked="0"/>
    </xf>
    <xf numFmtId="0" fontId="2" fillId="0" borderId="24" xfId="0" applyFont="1" applyBorder="1" applyProtection="1">
      <protection locked="0"/>
    </xf>
    <xf numFmtId="0" fontId="2" fillId="0" borderId="16" xfId="0" applyFont="1" applyBorder="1" applyProtection="1">
      <protection locked="0"/>
    </xf>
    <xf numFmtId="0" fontId="2" fillId="0" borderId="22" xfId="0" applyFont="1" applyBorder="1" applyProtection="1">
      <protection locked="0"/>
    </xf>
    <xf numFmtId="0" fontId="2" fillId="0" borderId="10" xfId="0" applyFont="1" applyBorder="1" applyProtection="1">
      <protection locked="0"/>
    </xf>
    <xf numFmtId="0" fontId="2" fillId="0" borderId="11" xfId="0" applyFont="1" applyBorder="1" applyAlignment="1" applyProtection="1">
      <alignment horizontal="left"/>
      <protection locked="0"/>
    </xf>
    <xf numFmtId="0" fontId="2" fillId="6" borderId="13" xfId="0" applyFont="1" applyFill="1" applyBorder="1" applyProtection="1">
      <protection locked="0"/>
    </xf>
    <xf numFmtId="0" fontId="2" fillId="0" borderId="13" xfId="0" applyFont="1" applyBorder="1" applyProtection="1">
      <protection locked="0"/>
    </xf>
    <xf numFmtId="0" fontId="5" fillId="2" borderId="6" xfId="0" applyFont="1" applyFill="1" applyBorder="1" applyProtection="1">
      <protection locked="0"/>
    </xf>
    <xf numFmtId="0" fontId="5" fillId="2" borderId="7" xfId="0" applyFont="1" applyFill="1" applyBorder="1" applyProtection="1">
      <protection locked="0"/>
    </xf>
    <xf numFmtId="0" fontId="5" fillId="2" borderId="10" xfId="0" applyFont="1" applyFill="1" applyBorder="1" applyProtection="1">
      <protection locked="0"/>
    </xf>
    <xf numFmtId="0" fontId="7" fillId="7" borderId="11" xfId="0" applyFont="1" applyFill="1" applyBorder="1"/>
    <xf numFmtId="0" fontId="7" fillId="7" borderId="0" xfId="0" applyFont="1" applyFill="1"/>
    <xf numFmtId="0" fontId="7" fillId="7" borderId="13" xfId="0" applyFont="1" applyFill="1" applyBorder="1"/>
    <xf numFmtId="0" fontId="7" fillId="10" borderId="11" xfId="0" applyFont="1" applyFill="1" applyBorder="1"/>
    <xf numFmtId="0" fontId="7" fillId="10" borderId="0" xfId="0" applyFont="1" applyFill="1"/>
    <xf numFmtId="0" fontId="7" fillId="10" borderId="13" xfId="0" applyFont="1" applyFill="1" applyBorder="1"/>
    <xf numFmtId="0" fontId="2" fillId="0" borderId="11" xfId="0" applyFont="1" applyBorder="1" applyProtection="1">
      <protection locked="0"/>
    </xf>
    <xf numFmtId="0" fontId="7" fillId="11" borderId="11" xfId="0" applyFont="1" applyFill="1" applyBorder="1"/>
    <xf numFmtId="0" fontId="7" fillId="11" borderId="0" xfId="0" applyFont="1" applyFill="1"/>
    <xf numFmtId="0" fontId="7" fillId="11" borderId="13" xfId="0" applyFont="1" applyFill="1" applyBorder="1"/>
    <xf numFmtId="0" fontId="3" fillId="0" borderId="22" xfId="0" applyFont="1" applyBorder="1"/>
    <xf numFmtId="0" fontId="2" fillId="0" borderId="0" xfId="0" applyFont="1" applyAlignment="1" applyProtection="1">
      <alignment horizontal="right"/>
      <protection locked="0"/>
    </xf>
    <xf numFmtId="0" fontId="2" fillId="9" borderId="25" xfId="0" applyFont="1" applyFill="1" applyBorder="1"/>
    <xf numFmtId="0" fontId="2" fillId="9" borderId="26" xfId="0" applyFont="1" applyFill="1" applyBorder="1"/>
    <xf numFmtId="0" fontId="2" fillId="0" borderId="3" xfId="0" applyFont="1" applyBorder="1" applyAlignment="1" applyProtection="1">
      <alignment horizontal="center"/>
      <protection locked="0"/>
    </xf>
    <xf numFmtId="0" fontId="2" fillId="8" borderId="0" xfId="0" applyFont="1" applyFill="1" applyAlignment="1" applyProtection="1">
      <alignment horizontal="center"/>
      <protection locked="0"/>
    </xf>
    <xf numFmtId="0" fontId="8" fillId="12" borderId="29" xfId="0" applyFont="1" applyFill="1" applyBorder="1" applyAlignment="1">
      <alignment horizontal="center" vertical="center" wrapText="1"/>
    </xf>
    <xf numFmtId="0" fontId="8" fillId="12" borderId="0" xfId="0" applyFont="1" applyFill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1" fillId="6" borderId="0" xfId="0" applyFont="1" applyFill="1" applyAlignment="1">
      <alignment horizontal="right"/>
    </xf>
    <xf numFmtId="0" fontId="11" fillId="6" borderId="13" xfId="0" applyFont="1" applyFill="1" applyBorder="1" applyAlignment="1">
      <alignment horizontal="right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0" fillId="0" borderId="11" xfId="0" applyFont="1" applyBorder="1"/>
    <xf numFmtId="0" fontId="2" fillId="0" borderId="17" xfId="0" applyFont="1" applyBorder="1" applyAlignment="1" applyProtection="1">
      <alignment horizontal="center"/>
      <protection locked="0"/>
    </xf>
    <xf numFmtId="0" fontId="2" fillId="6" borderId="22" xfId="0" applyFont="1" applyFill="1" applyBorder="1" applyProtection="1"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12" fillId="0" borderId="4" xfId="0" applyFont="1" applyBorder="1" applyAlignment="1" applyProtection="1">
      <alignment horizontal="center" vertical="center" wrapText="1"/>
      <protection locked="0"/>
    </xf>
    <xf numFmtId="0" fontId="2" fillId="7" borderId="5" xfId="0" applyFont="1" applyFill="1" applyBorder="1" applyAlignment="1" applyProtection="1">
      <alignment horizontal="center" vertical="center"/>
      <protection locked="0"/>
    </xf>
    <xf numFmtId="0" fontId="2" fillId="6" borderId="1" xfId="0" applyFont="1" applyFill="1" applyBorder="1" applyAlignment="1" applyProtection="1">
      <alignment horizontal="center" vertical="center"/>
      <protection locked="0"/>
    </xf>
    <xf numFmtId="0" fontId="2" fillId="8" borderId="5" xfId="0" applyFont="1" applyFill="1" applyBorder="1" applyAlignment="1" applyProtection="1">
      <alignment horizontal="center" vertical="center"/>
      <protection locked="0"/>
    </xf>
    <xf numFmtId="0" fontId="2" fillId="0" borderId="30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0" fillId="0" borderId="0" xfId="0"/>
    <xf numFmtId="0" fontId="5" fillId="2" borderId="30" xfId="0" applyFont="1" applyFill="1" applyBorder="1" applyAlignment="1">
      <alignment horizontal="center"/>
    </xf>
    <xf numFmtId="0" fontId="5" fillId="2" borderId="31" xfId="0" applyFont="1" applyFill="1" applyBorder="1" applyAlignment="1">
      <alignment horizontal="center"/>
    </xf>
    <xf numFmtId="0" fontId="5" fillId="2" borderId="32" xfId="0" applyFont="1" applyFill="1" applyBorder="1" applyAlignment="1">
      <alignment horizontal="center"/>
    </xf>
    <xf numFmtId="0" fontId="1" fillId="13" borderId="37" xfId="0" applyFont="1" applyFill="1" applyBorder="1"/>
    <xf numFmtId="0" fontId="1" fillId="0" borderId="38" xfId="0" applyFont="1" applyBorder="1"/>
    <xf numFmtId="0" fontId="1" fillId="13" borderId="38" xfId="0" applyFont="1" applyFill="1" applyBorder="1"/>
    <xf numFmtId="0" fontId="1" fillId="0" borderId="39" xfId="0" applyFont="1" applyBorder="1"/>
    <xf numFmtId="0" fontId="13" fillId="14" borderId="0" xfId="0" applyFont="1" applyFill="1" applyAlignment="1">
      <alignment horizontal="center"/>
    </xf>
    <xf numFmtId="0" fontId="2" fillId="0" borderId="0" xfId="0" applyFont="1" applyAlignment="1" applyProtection="1">
      <alignment horizontal="left"/>
      <protection locked="0"/>
    </xf>
    <xf numFmtId="0" fontId="0" fillId="0" borderId="17" xfId="0" applyBorder="1"/>
    <xf numFmtId="0" fontId="2" fillId="0" borderId="0" xfId="0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2" fillId="7" borderId="11" xfId="0" applyFont="1" applyFill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8" borderId="2" xfId="0" applyFont="1" applyFill="1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3" fillId="2" borderId="6" xfId="0" applyFont="1" applyFill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3" fillId="2" borderId="27" xfId="0" applyFont="1" applyFill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5" fillId="2" borderId="27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Protection="1">
      <protection locked="0"/>
    </xf>
    <xf numFmtId="0" fontId="4" fillId="4" borderId="28" xfId="0" applyFont="1" applyFill="1" applyBorder="1" applyAlignment="1" applyProtection="1">
      <alignment horizontal="center" vertical="center"/>
      <protection locked="0"/>
    </xf>
    <xf numFmtId="0" fontId="0" fillId="0" borderId="12" xfId="0" applyBorder="1" applyProtection="1">
      <protection locked="0"/>
    </xf>
    <xf numFmtId="0" fontId="0" fillId="0" borderId="15" xfId="0" applyBorder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5" fillId="2" borderId="27" xfId="0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Protection="1">
      <protection locked="0"/>
    </xf>
    <xf numFmtId="0" fontId="3" fillId="0" borderId="16" xfId="0" applyFont="1" applyBorder="1" applyAlignment="1">
      <alignment horizontal="right"/>
    </xf>
    <xf numFmtId="0" fontId="0" fillId="0" borderId="17" xfId="0" applyBorder="1"/>
    <xf numFmtId="0" fontId="4" fillId="4" borderId="9" xfId="0" applyFont="1" applyFill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 applyProtection="1">
      <alignment horizontal="center"/>
      <protection locked="0"/>
    </xf>
    <xf numFmtId="0" fontId="2" fillId="0" borderId="7" xfId="0" applyFont="1" applyBorder="1" applyAlignment="1" applyProtection="1">
      <alignment horizontal="left"/>
      <protection locked="0"/>
    </xf>
    <xf numFmtId="0" fontId="2" fillId="7" borderId="2" xfId="0" applyFont="1" applyFill="1" applyBorder="1" applyAlignment="1" applyProtection="1">
      <alignment horizontal="center"/>
      <protection locked="0"/>
    </xf>
    <xf numFmtId="0" fontId="2" fillId="13" borderId="35" xfId="0" applyFont="1" applyFill="1" applyBorder="1" applyAlignment="1">
      <alignment horizontal="left"/>
    </xf>
    <xf numFmtId="0" fontId="0" fillId="0" borderId="36" xfId="0" applyBorder="1"/>
    <xf numFmtId="0" fontId="2" fillId="0" borderId="40" xfId="0" applyFont="1" applyBorder="1" applyAlignment="1">
      <alignment horizontal="left"/>
    </xf>
    <xf numFmtId="0" fontId="0" fillId="0" borderId="42" xfId="0" applyBorder="1"/>
    <xf numFmtId="0" fontId="2" fillId="0" borderId="35" xfId="0" applyFont="1" applyBorder="1" applyAlignment="1">
      <alignment horizontal="left"/>
    </xf>
    <xf numFmtId="0" fontId="4" fillId="4" borderId="28" xfId="0" applyFont="1" applyFill="1" applyBorder="1" applyAlignment="1" applyProtection="1">
      <alignment horizontal="center" vertical="center" wrapText="1"/>
      <protection locked="0"/>
    </xf>
    <xf numFmtId="0" fontId="2" fillId="13" borderId="35" xfId="0" applyFont="1" applyFill="1" applyBorder="1" applyAlignment="1">
      <alignment horizontal="left" wrapText="1"/>
    </xf>
    <xf numFmtId="0" fontId="2" fillId="0" borderId="35" xfId="0" applyFont="1" applyBorder="1" applyAlignment="1">
      <alignment horizontal="left" wrapText="1"/>
    </xf>
    <xf numFmtId="0" fontId="2" fillId="13" borderId="33" xfId="0" applyFont="1" applyFill="1" applyBorder="1" applyAlignment="1">
      <alignment horizontal="left"/>
    </xf>
    <xf numFmtId="0" fontId="0" fillId="0" borderId="34" xfId="0" applyBorder="1"/>
    <xf numFmtId="0" fontId="4" fillId="4" borderId="9" xfId="0" applyFont="1" applyFill="1" applyBorder="1" applyAlignment="1" applyProtection="1">
      <alignment horizontal="center" vertical="center" wrapText="1"/>
      <protection locked="0"/>
    </xf>
    <xf numFmtId="0" fontId="5" fillId="2" borderId="23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Protection="1">
      <protection locked="0"/>
    </xf>
    <xf numFmtId="0" fontId="0" fillId="0" borderId="0" xfId="0" applyBorder="1"/>
    <xf numFmtId="0" fontId="2" fillId="0" borderId="0" xfId="0" applyFont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2" fillId="0" borderId="0" xfId="0" applyFont="1" applyFill="1" applyBorder="1" applyProtection="1">
      <protection locked="0"/>
    </xf>
    <xf numFmtId="0" fontId="10" fillId="0" borderId="0" xfId="0" applyFont="1" applyFill="1" applyBorder="1"/>
    <xf numFmtId="0" fontId="11" fillId="0" borderId="0" xfId="0" applyFont="1" applyFill="1" applyBorder="1" applyAlignment="1">
      <alignment horizontal="right"/>
    </xf>
    <xf numFmtId="0" fontId="0" fillId="0" borderId="0" xfId="0" applyBorder="1" applyAlignment="1" applyProtection="1">
      <protection locked="0"/>
    </xf>
    <xf numFmtId="0" fontId="5" fillId="2" borderId="46" xfId="0" applyFont="1" applyFill="1" applyBorder="1" applyAlignment="1" applyProtection="1">
      <alignment horizontal="center" vertical="center"/>
      <protection locked="0"/>
    </xf>
    <xf numFmtId="0" fontId="5" fillId="2" borderId="43" xfId="0" applyFont="1" applyFill="1" applyBorder="1" applyAlignment="1" applyProtection="1">
      <alignment horizontal="center" vertical="center"/>
      <protection locked="0"/>
    </xf>
    <xf numFmtId="0" fontId="5" fillId="2" borderId="41" xfId="0" applyFont="1" applyFill="1" applyBorder="1" applyAlignment="1" applyProtection="1">
      <alignment horizontal="center" vertical="center"/>
      <protection locked="0"/>
    </xf>
    <xf numFmtId="0" fontId="0" fillId="0" borderId="44" xfId="0" applyBorder="1"/>
    <xf numFmtId="0" fontId="2" fillId="0" borderId="44" xfId="0" applyFont="1" applyFill="1" applyBorder="1" applyAlignment="1" applyProtection="1">
      <alignment horizontal="center"/>
      <protection locked="0"/>
    </xf>
    <xf numFmtId="0" fontId="0" fillId="0" borderId="44" xfId="0" applyFill="1" applyBorder="1"/>
    <xf numFmtId="0" fontId="2" fillId="0" borderId="45" xfId="0" applyFont="1" applyFill="1" applyBorder="1" applyProtection="1">
      <protection locked="0"/>
    </xf>
    <xf numFmtId="0" fontId="2" fillId="0" borderId="11" xfId="0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0" fontId="2" fillId="0" borderId="11" xfId="0" applyFont="1" applyFill="1" applyBorder="1" applyAlignment="1" applyProtection="1">
      <alignment horizontal="left"/>
      <protection locked="0"/>
    </xf>
    <xf numFmtId="0" fontId="2" fillId="0" borderId="16" xfId="0" applyFont="1" applyFill="1" applyBorder="1" applyProtection="1">
      <protection locked="0"/>
    </xf>
    <xf numFmtId="0" fontId="2" fillId="0" borderId="17" xfId="0" applyFont="1" applyFill="1" applyBorder="1" applyProtection="1">
      <protection locked="0"/>
    </xf>
    <xf numFmtId="0" fontId="0" fillId="0" borderId="17" xfId="0" applyFill="1" applyBorder="1"/>
    <xf numFmtId="0" fontId="2" fillId="0" borderId="22" xfId="0" applyFont="1" applyFill="1" applyBorder="1" applyProtection="1">
      <protection locked="0"/>
    </xf>
    <xf numFmtId="0" fontId="2" fillId="0" borderId="0" xfId="0" applyFont="1" applyFill="1" applyBorder="1" applyAlignment="1" applyProtection="1">
      <alignment horizontal="right"/>
      <protection locked="0"/>
    </xf>
    <xf numFmtId="0" fontId="2" fillId="0" borderId="6" xfId="0" applyFont="1" applyBorder="1" applyProtection="1">
      <protection locked="0"/>
    </xf>
    <xf numFmtId="0" fontId="2" fillId="0" borderId="44" xfId="0" applyFont="1" applyBorder="1" applyProtection="1">
      <protection locked="0"/>
    </xf>
    <xf numFmtId="0" fontId="5" fillId="2" borderId="46" xfId="0" applyFont="1" applyFill="1" applyBorder="1" applyAlignment="1" applyProtection="1">
      <alignment horizontal="center"/>
      <protection locked="0"/>
    </xf>
    <xf numFmtId="0" fontId="5" fillId="2" borderId="43" xfId="0" applyFont="1" applyFill="1" applyBorder="1" applyAlignment="1" applyProtection="1">
      <alignment horizontal="center"/>
      <protection locked="0"/>
    </xf>
    <xf numFmtId="0" fontId="5" fillId="2" borderId="41" xfId="0" applyFont="1" applyFill="1" applyBorder="1" applyAlignment="1" applyProtection="1">
      <alignment horizontal="center"/>
      <protection locked="0"/>
    </xf>
    <xf numFmtId="0" fontId="2" fillId="0" borderId="6" xfId="0" applyFont="1" applyFill="1" applyBorder="1" applyProtection="1">
      <protection locked="0"/>
    </xf>
  </cellXfs>
  <cellStyles count="1">
    <cellStyle name="Normal" xfId="0" builtinId="0"/>
  </cellStyles>
  <dxfs count="94">
    <dxf>
      <font>
        <strike val="0"/>
        <sz val="14"/>
        <color theme="1"/>
        <name val="Times New Roman"/>
        <family val="1"/>
      </font>
      <alignment horizont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  <dxf>
      <font>
        <strike val="0"/>
        <sz val="14"/>
        <color theme="1"/>
        <name val="Times New Roman"/>
        <family val="1"/>
      </font>
      <alignment horizontal="center" vertic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alignment horizontal="center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  <dxf>
      <font>
        <strike val="0"/>
        <sz val="14"/>
        <color theme="1"/>
        <name val="Times New Roman"/>
        <family val="1"/>
      </font>
      <alignment horizont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  <dxf>
      <font>
        <strike val="0"/>
        <sz val="14"/>
        <color theme="1"/>
        <name val="Times New Roman"/>
        <family val="1"/>
      </font>
      <alignment horizont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border>
        <left style="thin">
          <color indexed="64"/>
        </left>
        <right/>
        <top/>
        <bottom/>
        <vertical/>
        <horizontal/>
      </border>
      <protection locked="0" hidden="0"/>
    </dxf>
    <dxf>
      <alignment horizontal="center"/>
    </dxf>
    <dxf>
      <alignment horizontal="center" vertical="center" wrapText="1"/>
    </dxf>
    <dxf>
      <font>
        <strike val="0"/>
        <sz val="14"/>
        <color theme="1"/>
        <name val="Times New Roman"/>
        <family val="1"/>
      </font>
      <alignment horizontal="center" vertic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alignment horizontal="center"/>
    </dxf>
    <dxf>
      <alignment horizontal="center" vertical="center" wrapText="1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  <dxf>
      <alignment horizontal="center" vertical="center"/>
    </dxf>
    <dxf>
      <font>
        <strike val="0"/>
        <sz val="14"/>
        <color theme="1"/>
        <name val="Times New Roman"/>
        <family val="1"/>
      </font>
      <alignment horizont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  <dxf>
      <alignment horizontal="center" vertical="center"/>
    </dxf>
    <dxf>
      <font>
        <strike val="0"/>
        <sz val="14"/>
        <color theme="1"/>
        <name val="Times New Roman"/>
        <family val="1"/>
      </font>
      <alignment horizont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  <dxf>
      <font>
        <strike val="0"/>
        <sz val="14"/>
        <color theme="1"/>
        <name val="Times New Roman"/>
        <family val="1"/>
      </font>
      <alignment horizontal="center" vertic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 vertical="center"/>
      <protection locked="0" hidden="0"/>
    </dxf>
    <dxf>
      <alignment horizontal="center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  <dxf>
      <font>
        <strike val="0"/>
        <sz val="14"/>
        <color theme="1"/>
        <name val="Times New Roman"/>
        <family val="1"/>
      </font>
      <alignment horizontal="center"/>
      <border outline="0">
        <left/>
        <right style="thin">
          <color auto="1"/>
        </right>
      </border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font>
        <strike val="0"/>
        <sz val="14"/>
        <color theme="1"/>
        <name val="Times New Roman"/>
        <family val="1"/>
      </font>
      <alignment horizontal="center"/>
      <protection locked="0" hidden="0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FAE-4E7C-A3C3-C3D93A2948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FAE-4E7C-A3C3-C3D93A29483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8FAE-4E7C-A3C3-C3D93A294834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2000" b="1" i="0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'May 2026'!$AM$41:$AM$43</c:f>
              <c:numCache>
                <c:formatCode>General</c:formatCode>
                <c:ptCount val="3"/>
                <c:pt idx="0">
                  <c:v>58</c:v>
                </c:pt>
                <c:pt idx="1">
                  <c:v>70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AE-4E7C-A3C3-C3D93A2948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lang="en-US" sz="900" b="0" i="0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224517</xdr:colOff>
      <xdr:row>45</xdr:row>
      <xdr:rowOff>16328</xdr:rowOff>
    </xdr:from>
    <xdr:to>
      <xdr:col>40</xdr:col>
      <xdr:colOff>6803</xdr:colOff>
      <xdr:row>58</xdr:row>
      <xdr:rowOff>217713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66" displayName="Table66" ref="C3:H34" totalsRowShown="0" dataDxfId="93">
  <autoFilter ref="C3:H34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G7 " dataDxfId="92"/>
    <tableColumn id="2" xr3:uid="{00000000-0010-0000-0000-000002000000}" name="G8" dataDxfId="91"/>
    <tableColumn id="3" xr3:uid="{00000000-0010-0000-0000-000003000000}" name="G9" dataDxfId="90"/>
    <tableColumn id="4" xr3:uid="{00000000-0010-0000-0000-000004000000}" name="G10" dataDxfId="89"/>
    <tableColumn id="5" xr3:uid="{00000000-0010-0000-0000-000005000000}" name="G11" dataDxfId="88"/>
    <tableColumn id="6" xr3:uid="{00000000-0010-0000-0000-000006000000}" name="G12" dataDxfId="87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77" displayName="Table77" ref="K3:P34" totalsRowShown="0" dataDxfId="86">
  <autoFilter ref="K3:P3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100-000001000000}" name="G7 " dataDxfId="85"/>
    <tableColumn id="2" xr3:uid="{00000000-0010-0000-0100-000002000000}" name="G8" dataDxfId="84"/>
    <tableColumn id="3" xr3:uid="{00000000-0010-0000-0100-000003000000}" name="G9" dataDxfId="83"/>
    <tableColumn id="4" xr3:uid="{00000000-0010-0000-0100-000004000000}" name="G10" dataDxfId="82"/>
    <tableColumn id="5" xr3:uid="{00000000-0010-0000-0100-000005000000}" name="G11" dataDxfId="81"/>
    <tableColumn id="6" xr3:uid="{00000000-0010-0000-0100-000006000000}" name="G12" dataDxfId="80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88" displayName="Table88" ref="S3:Y34" totalsRowShown="0" dataDxfId="79">
  <autoFilter ref="S3:Y34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BSRT" dataDxfId="78"/>
    <tableColumn id="2" xr3:uid="{00000000-0010-0000-0200-000002000000}" name="BSCRIM" dataDxfId="77"/>
    <tableColumn id="3" xr3:uid="{00000000-0010-0000-0200-000003000000}" name="BSBA/BSA" dataDxfId="76"/>
    <tableColumn id="4" xr3:uid="{00000000-0010-0000-0200-000004000000}" name="BSHM" dataDxfId="75"/>
    <tableColumn id="5" xr3:uid="{00000000-0010-0000-0200-000005000000}" name="BSTM" dataDxfId="74"/>
    <tableColumn id="6" xr3:uid="{00000000-0010-0000-0200-000006000000}" name="EDUC" dataDxfId="73"/>
    <tableColumn id="7" xr3:uid="{00000000-0010-0000-0200-000007000000}" name="BSIT" dataDxfId="7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9" displayName="Table99" ref="AB3:AH34" totalsRowShown="0" dataDxfId="71">
  <autoFilter ref="AB3:AH34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300-000001000000}" name="BSRT" dataDxfId="70"/>
    <tableColumn id="2" xr3:uid="{00000000-0010-0000-0300-000002000000}" name="BSCRIM" dataDxfId="69"/>
    <tableColumn id="3" xr3:uid="{00000000-0010-0000-0300-000003000000}" name="BSBA/BSA" dataDxfId="68"/>
    <tableColumn id="4" xr3:uid="{00000000-0010-0000-0300-000004000000}" name="BSHM" dataDxfId="67"/>
    <tableColumn id="5" xr3:uid="{00000000-0010-0000-0300-000005000000}" name="BSTM" dataDxfId="66"/>
    <tableColumn id="6" xr3:uid="{00000000-0010-0000-0300-000006000000}" name="EDUC " dataDxfId="65"/>
    <tableColumn id="7" xr3:uid="{00000000-0010-0000-0300-000007000000}" name="BSIT" dataDxfId="6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6610" displayName="Table6610" ref="C3:H34" totalsRowShown="0" headerRowDxfId="63" dataDxfId="62">
  <autoFilter ref="C3:H34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400-000001000000}" name="G7 " dataDxfId="61"/>
    <tableColumn id="2" xr3:uid="{00000000-0010-0000-0400-000002000000}" name="G8" dataDxfId="60"/>
    <tableColumn id="3" xr3:uid="{00000000-0010-0000-0400-000003000000}" name="G9" dataDxfId="59"/>
    <tableColumn id="4" xr3:uid="{00000000-0010-0000-0400-000004000000}" name="G10" dataDxfId="58"/>
    <tableColumn id="5" xr3:uid="{00000000-0010-0000-0400-000005000000}" name="G11" dataDxfId="57"/>
    <tableColumn id="6" xr3:uid="{00000000-0010-0000-0400-000006000000}" name="G12" dataDxfId="56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7711" displayName="Table7711" ref="K3:P34" totalsRowShown="0" headerRowDxfId="55" dataDxfId="54">
  <autoFilter ref="K3:P3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500-000001000000}" name="G7 " dataDxfId="53"/>
    <tableColumn id="2" xr3:uid="{00000000-0010-0000-0500-000002000000}" name="G8" dataDxfId="52"/>
    <tableColumn id="3" xr3:uid="{00000000-0010-0000-0500-000003000000}" name="G9" dataDxfId="51"/>
    <tableColumn id="4" xr3:uid="{00000000-0010-0000-0500-000004000000}" name="G10" dataDxfId="50"/>
    <tableColumn id="5" xr3:uid="{00000000-0010-0000-0500-000005000000}" name="G11" dataDxfId="49"/>
    <tableColumn id="6" xr3:uid="{00000000-0010-0000-0500-000006000000}" name="G12" dataDxfId="48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8812" displayName="Table8812" ref="S3:Y34" totalsRowShown="0" headerRowDxfId="47" dataDxfId="46">
  <autoFilter ref="S3:Y34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600-000001000000}" name="BSRT" dataDxfId="45"/>
    <tableColumn id="2" xr3:uid="{00000000-0010-0000-0600-000002000000}" name="BSCRIM" dataDxfId="44"/>
    <tableColumn id="3" xr3:uid="{00000000-0010-0000-0600-000003000000}" name="BSBA/BSA" dataDxfId="43"/>
    <tableColumn id="4" xr3:uid="{00000000-0010-0000-0600-000004000000}" name="BSHM" dataDxfId="42"/>
    <tableColumn id="5" xr3:uid="{00000000-0010-0000-0600-000005000000}" name="BSTM" dataDxfId="41"/>
    <tableColumn id="6" xr3:uid="{00000000-0010-0000-0600-000006000000}" name="EDUC" dataDxfId="40"/>
    <tableColumn id="7" xr3:uid="{00000000-0010-0000-0600-000007000000}" name="BSIT" dataDxfId="39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9913" displayName="Table9913" ref="AB3:AH34" totalsRowShown="0" headerRowDxfId="38" dataDxfId="37">
  <autoFilter ref="AB3:AH34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700-000001000000}" name="BSRT" dataDxfId="36"/>
    <tableColumn id="2" xr3:uid="{00000000-0010-0000-0700-000002000000}" name="BSCRIM" dataDxfId="35"/>
    <tableColumn id="3" xr3:uid="{00000000-0010-0000-0700-000003000000}" name="BSBA/BSA" dataDxfId="34"/>
    <tableColumn id="4" xr3:uid="{00000000-0010-0000-0700-000004000000}" name="BSHM" dataDxfId="33"/>
    <tableColumn id="5" xr3:uid="{00000000-0010-0000-0700-000005000000}" name="BSTM" dataDxfId="32"/>
    <tableColumn id="6" xr3:uid="{00000000-0010-0000-0700-000006000000}" name="EDUC " dataDxfId="31"/>
    <tableColumn id="7" xr3:uid="{00000000-0010-0000-0700-000007000000}" name="BSIT" dataDxfId="30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6" displayName="Table6" ref="C3:H34" totalsRowShown="0" dataDxfId="29">
  <autoFilter ref="C3:H34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800-000001000000}" name="G7 " dataDxfId="28"/>
    <tableColumn id="2" xr3:uid="{00000000-0010-0000-0800-000002000000}" name="G8" dataDxfId="27"/>
    <tableColumn id="3" xr3:uid="{00000000-0010-0000-0800-000003000000}" name="G9" dataDxfId="26"/>
    <tableColumn id="4" xr3:uid="{00000000-0010-0000-0800-000004000000}" name="G10" dataDxfId="25"/>
    <tableColumn id="5" xr3:uid="{00000000-0010-0000-0800-000005000000}" name="G11" dataDxfId="24"/>
    <tableColumn id="6" xr3:uid="{00000000-0010-0000-0800-000006000000}" name="G12" dataDxfId="23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7" displayName="Table7" ref="K3:P34" totalsRowShown="0" dataDxfId="22">
  <autoFilter ref="K3:P34" xr:uid="{00000000-0009-0000-0100-00000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900-000001000000}" name="G7 " dataDxfId="21"/>
    <tableColumn id="2" xr3:uid="{00000000-0010-0000-0900-000002000000}" name="G8" dataDxfId="20"/>
    <tableColumn id="3" xr3:uid="{00000000-0010-0000-0900-000003000000}" name="G9" dataDxfId="19"/>
    <tableColumn id="4" xr3:uid="{00000000-0010-0000-0900-000004000000}" name="G10" dataDxfId="18"/>
    <tableColumn id="5" xr3:uid="{00000000-0010-0000-0900-000005000000}" name="G11" dataDxfId="17"/>
    <tableColumn id="6" xr3:uid="{00000000-0010-0000-0900-000006000000}" name="G12" dataDxfId="16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8" displayName="Table8" ref="S3:Y34" totalsRowShown="0" dataDxfId="15">
  <autoFilter ref="S3:Y34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A00-000001000000}" name="BSRT" dataDxfId="14"/>
    <tableColumn id="2" xr3:uid="{00000000-0010-0000-0A00-000002000000}" name="BSCRIM" dataDxfId="13"/>
    <tableColumn id="3" xr3:uid="{00000000-0010-0000-0A00-000003000000}" name="BSBA/BSA" dataDxfId="12"/>
    <tableColumn id="4" xr3:uid="{00000000-0010-0000-0A00-000004000000}" name="BSHM" dataDxfId="11"/>
    <tableColumn id="5" xr3:uid="{00000000-0010-0000-0A00-000005000000}" name="BSTM" dataDxfId="10"/>
    <tableColumn id="6" xr3:uid="{00000000-0010-0000-0A00-000006000000}" name="EDUC" dataDxfId="9"/>
    <tableColumn id="7" xr3:uid="{00000000-0010-0000-0A00-000007000000}" name="BSIT" dataDxfId="8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9" displayName="Table9" ref="AB3:AH34" totalsRowShown="0" dataDxfId="7">
  <autoFilter ref="AB3:AH34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B00-000001000000}" name="BSRT" dataDxfId="6"/>
    <tableColumn id="2" xr3:uid="{00000000-0010-0000-0B00-000002000000}" name="BSCRIM" dataDxfId="5"/>
    <tableColumn id="3" xr3:uid="{00000000-0010-0000-0B00-000003000000}" name="BSBA/BSA" dataDxfId="4"/>
    <tableColumn id="4" xr3:uid="{00000000-0010-0000-0B00-000004000000}" name="BSHM" dataDxfId="3"/>
    <tableColumn id="5" xr3:uid="{00000000-0010-0000-0B00-000005000000}" name="BSTM" dataDxfId="2"/>
    <tableColumn id="6" xr3:uid="{00000000-0010-0000-0B00-000006000000}" name="EDUC " dataDxfId="1"/>
    <tableColumn id="7" xr3:uid="{00000000-0010-0000-0B00-000007000000}" name="BSIT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1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2"/>
  <sheetViews>
    <sheetView topLeftCell="C1" workbookViewId="0">
      <pane ySplit="1" topLeftCell="A2" activePane="bottomLeft" state="frozen"/>
      <selection pane="bottomLeft" activeCell="P8" sqref="P8"/>
    </sheetView>
  </sheetViews>
  <sheetFormatPr defaultRowHeight="15"/>
  <cols>
    <col min="1" max="1" width="14" style="95" customWidth="1"/>
    <col min="2" max="2" width="30" style="95" customWidth="1"/>
    <col min="3" max="3" width="14" style="95" customWidth="1"/>
    <col min="4" max="4" width="6" style="95" customWidth="1"/>
    <col min="5" max="5" width="8" style="95" customWidth="1"/>
    <col min="6" max="6" width="18" style="95" customWidth="1"/>
    <col min="7" max="8" width="14" style="95" customWidth="1"/>
    <col min="9" max="9" width="32" style="95" customWidth="1"/>
    <col min="10" max="10" width="28" style="95" customWidth="1"/>
    <col min="11" max="11" width="12" style="95" customWidth="1"/>
    <col min="12" max="12" width="32" style="95" customWidth="1"/>
    <col min="13" max="13" width="16" style="95" customWidth="1"/>
    <col min="14" max="14" width="14" style="95" customWidth="1"/>
    <col min="15" max="15" width="20" style="95" customWidth="1"/>
    <col min="16" max="16" width="16" style="95" customWidth="1"/>
    <col min="17" max="17" width="18" style="95" customWidth="1"/>
  </cols>
  <sheetData>
    <row r="1" spans="1:17" ht="27.95" customHeight="1">
      <c r="A1" s="70" t="s">
        <v>0</v>
      </c>
      <c r="B1" s="70" t="s">
        <v>1</v>
      </c>
      <c r="C1" s="70" t="s">
        <v>2</v>
      </c>
      <c r="D1" s="70" t="s">
        <v>3</v>
      </c>
      <c r="E1" s="70" t="s">
        <v>4</v>
      </c>
      <c r="F1" s="70" t="s">
        <v>5</v>
      </c>
      <c r="G1" s="70" t="s">
        <v>6</v>
      </c>
      <c r="H1" s="70" t="s">
        <v>7</v>
      </c>
      <c r="I1" s="70" t="s">
        <v>8</v>
      </c>
      <c r="J1" s="70" t="s">
        <v>9</v>
      </c>
      <c r="K1" s="70" t="s">
        <v>10</v>
      </c>
      <c r="L1" s="70" t="s">
        <v>11</v>
      </c>
      <c r="M1" s="70" t="s">
        <v>12</v>
      </c>
      <c r="N1" s="70" t="s">
        <v>13</v>
      </c>
      <c r="O1" s="70" t="s">
        <v>14</v>
      </c>
      <c r="P1" s="70" t="s">
        <v>15</v>
      </c>
      <c r="Q1" s="70" t="s">
        <v>16</v>
      </c>
    </row>
    <row r="2" spans="1:17">
      <c r="A2" t="s">
        <v>17</v>
      </c>
      <c r="B2" t="s">
        <v>18</v>
      </c>
      <c r="C2" t="s">
        <v>19</v>
      </c>
      <c r="D2" t="s">
        <v>20</v>
      </c>
      <c r="E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232"/>
  <sheetViews>
    <sheetView topLeftCell="A101" zoomScale="85" zoomScaleNormal="85" workbookViewId="0">
      <selection activeCell="R38" sqref="R38"/>
    </sheetView>
  </sheetViews>
  <sheetFormatPr defaultColWidth="8.85546875" defaultRowHeight="18.75"/>
  <cols>
    <col min="1" max="1" width="13" style="77" customWidth="1"/>
    <col min="2" max="2" width="6.140625" style="78" customWidth="1"/>
    <col min="3" max="3" width="7.5703125" style="77" customWidth="1"/>
    <col min="4" max="4" width="7.7109375" style="77" customWidth="1"/>
    <col min="5" max="5" width="8.140625" style="77" customWidth="1"/>
    <col min="6" max="6" width="8" style="77" customWidth="1"/>
    <col min="7" max="8" width="8.7109375" style="77" customWidth="1"/>
    <col min="9" max="9" width="8" style="77" customWidth="1"/>
    <col min="10" max="10" width="4" style="77" customWidth="1"/>
    <col min="11" max="11" width="7.7109375" style="77" customWidth="1"/>
    <col min="12" max="12" width="10.42578125" style="77" customWidth="1"/>
    <col min="13" max="13" width="8" style="77" customWidth="1"/>
    <col min="14" max="14" width="7.7109375" style="77" customWidth="1"/>
    <col min="15" max="16" width="7.85546875" style="77" customWidth="1"/>
    <col min="17" max="17" width="8.28515625" style="77" customWidth="1"/>
    <col min="18" max="18" width="4.28515625" style="77" customWidth="1"/>
    <col min="19" max="19" width="10.42578125" style="77" customWidth="1"/>
    <col min="20" max="20" width="13.140625" style="77" customWidth="1"/>
    <col min="21" max="21" width="15.5703125" style="77" customWidth="1"/>
    <col min="22" max="22" width="10.7109375" style="77" customWidth="1"/>
    <col min="23" max="24" width="10.28515625" style="77" customWidth="1"/>
    <col min="25" max="25" width="8.85546875" style="77" customWidth="1"/>
    <col min="26" max="26" width="11.7109375" style="77" customWidth="1"/>
    <col min="27" max="27" width="4.28515625" style="77" customWidth="1"/>
    <col min="28" max="28" width="9.5703125" style="77" customWidth="1"/>
    <col min="29" max="29" width="13.140625" style="77" customWidth="1"/>
    <col min="30" max="30" width="15.5703125" style="77" customWidth="1"/>
    <col min="31" max="31" width="11.5703125" style="77" customWidth="1"/>
    <col min="32" max="32" width="10.42578125" style="77" customWidth="1"/>
    <col min="33" max="33" width="10.85546875" style="77" customWidth="1"/>
    <col min="34" max="34" width="8.85546875" style="77" customWidth="1"/>
    <col min="35" max="35" width="14.28515625" style="77" customWidth="1"/>
    <col min="36" max="36" width="4.42578125" style="77" customWidth="1"/>
    <col min="37" max="37" width="20.5703125" style="77" customWidth="1"/>
    <col min="38" max="38" width="21" style="77" customWidth="1"/>
    <col min="39" max="39" width="17" style="77" customWidth="1"/>
    <col min="40" max="40" width="8.85546875" style="78" customWidth="1"/>
    <col min="41" max="42" width="8.85546875" style="77" customWidth="1"/>
    <col min="43" max="43" width="34.7109375" style="77" customWidth="1"/>
    <col min="44" max="51" width="8.85546875" style="77" customWidth="1"/>
    <col min="52" max="16384" width="8.85546875" style="77"/>
  </cols>
  <sheetData>
    <row r="1" spans="1:40" ht="20.25" customHeight="1">
      <c r="A1" s="112" t="s">
        <v>33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"/>
      <c r="AK1" s="119" t="s">
        <v>34</v>
      </c>
      <c r="AL1" s="119" t="s">
        <v>35</v>
      </c>
      <c r="AM1" s="128" t="s">
        <v>36</v>
      </c>
      <c r="AN1" s="2"/>
    </row>
    <row r="2" spans="1:40">
      <c r="A2" s="60"/>
      <c r="B2" s="3"/>
      <c r="C2" s="129" t="s">
        <v>37</v>
      </c>
      <c r="D2" s="107"/>
      <c r="E2" s="107"/>
      <c r="F2" s="107"/>
      <c r="G2" s="107"/>
      <c r="H2" s="107"/>
      <c r="I2" s="111"/>
      <c r="J2" s="4"/>
      <c r="K2" s="131" t="s">
        <v>38</v>
      </c>
      <c r="L2" s="107"/>
      <c r="M2" s="107"/>
      <c r="N2" s="107"/>
      <c r="O2" s="107"/>
      <c r="P2" s="107"/>
      <c r="Q2" s="111"/>
      <c r="R2" s="5"/>
      <c r="S2" s="110" t="s">
        <v>39</v>
      </c>
      <c r="T2" s="107"/>
      <c r="U2" s="107"/>
      <c r="V2" s="107"/>
      <c r="W2" s="107"/>
      <c r="X2" s="107"/>
      <c r="Y2" s="107"/>
      <c r="Z2" s="111"/>
      <c r="AA2" s="6"/>
      <c r="AB2" s="110" t="s">
        <v>40</v>
      </c>
      <c r="AC2" s="107"/>
      <c r="AD2" s="107"/>
      <c r="AE2" s="107"/>
      <c r="AF2" s="107"/>
      <c r="AG2" s="107"/>
      <c r="AH2" s="107"/>
      <c r="AI2" s="111"/>
      <c r="AJ2" s="7"/>
      <c r="AK2" s="120"/>
      <c r="AL2" s="120"/>
      <c r="AM2" s="120"/>
      <c r="AN2" s="8"/>
    </row>
    <row r="3" spans="1:40" s="78" customFormat="1">
      <c r="A3" s="9">
        <v>46174</v>
      </c>
      <c r="B3" s="10"/>
      <c r="C3" s="10" t="s">
        <v>41</v>
      </c>
      <c r="D3" s="10" t="s">
        <v>42</v>
      </c>
      <c r="E3" s="10" t="s">
        <v>43</v>
      </c>
      <c r="F3" s="10" t="s">
        <v>44</v>
      </c>
      <c r="G3" s="10" t="s">
        <v>45</v>
      </c>
      <c r="H3" s="11" t="s">
        <v>46</v>
      </c>
      <c r="I3" s="12" t="s">
        <v>47</v>
      </c>
      <c r="J3" s="13"/>
      <c r="K3" s="10" t="s">
        <v>41</v>
      </c>
      <c r="L3" s="10" t="s">
        <v>42</v>
      </c>
      <c r="M3" s="10" t="s">
        <v>43</v>
      </c>
      <c r="N3" s="10" t="s">
        <v>44</v>
      </c>
      <c r="O3" s="10" t="s">
        <v>45</v>
      </c>
      <c r="P3" s="10" t="s">
        <v>46</v>
      </c>
      <c r="Q3" s="12" t="s">
        <v>47</v>
      </c>
      <c r="R3" s="13"/>
      <c r="S3" s="10" t="s">
        <v>48</v>
      </c>
      <c r="T3" s="10" t="s">
        <v>49</v>
      </c>
      <c r="U3" s="10" t="s">
        <v>50</v>
      </c>
      <c r="V3" s="10" t="s">
        <v>51</v>
      </c>
      <c r="W3" s="10" t="s">
        <v>52</v>
      </c>
      <c r="X3" s="10" t="s">
        <v>53</v>
      </c>
      <c r="Y3" s="11" t="s">
        <v>28</v>
      </c>
      <c r="Z3" s="14" t="s">
        <v>47</v>
      </c>
      <c r="AA3" s="15"/>
      <c r="AB3" s="10" t="s">
        <v>48</v>
      </c>
      <c r="AC3" s="10" t="s">
        <v>49</v>
      </c>
      <c r="AD3" s="10" t="s">
        <v>50</v>
      </c>
      <c r="AE3" s="10" t="s">
        <v>51</v>
      </c>
      <c r="AF3" s="10" t="s">
        <v>52</v>
      </c>
      <c r="AG3" s="10" t="s">
        <v>54</v>
      </c>
      <c r="AH3" s="11" t="s">
        <v>28</v>
      </c>
      <c r="AI3" s="14" t="s">
        <v>55</v>
      </c>
      <c r="AJ3" s="16"/>
      <c r="AK3" s="121"/>
      <c r="AL3" s="121"/>
      <c r="AM3" s="121"/>
      <c r="AN3" s="8" t="s">
        <v>56</v>
      </c>
    </row>
    <row r="4" spans="1:40">
      <c r="A4" s="17" t="s">
        <v>57</v>
      </c>
      <c r="B4" s="78">
        <v>1</v>
      </c>
      <c r="C4" s="78"/>
      <c r="D4" s="78"/>
      <c r="E4" s="78"/>
      <c r="F4" s="78"/>
      <c r="G4" s="78"/>
      <c r="H4" s="3"/>
      <c r="I4" s="18">
        <f t="shared" ref="I4:I34" si="0">SUM(C4:H4)</f>
        <v>0</v>
      </c>
      <c r="J4" s="19"/>
      <c r="K4" s="78"/>
      <c r="L4" s="78"/>
      <c r="M4" s="78"/>
      <c r="N4" s="78"/>
      <c r="O4" s="78"/>
      <c r="P4" s="78"/>
      <c r="Q4" s="18">
        <f t="shared" ref="Q4:Q34" si="1">SUM(K4:P4)</f>
        <v>0</v>
      </c>
      <c r="R4" s="20"/>
      <c r="S4" s="21"/>
      <c r="T4" s="21"/>
      <c r="U4" s="21"/>
      <c r="V4" s="21"/>
      <c r="W4" s="21"/>
      <c r="X4" s="21"/>
      <c r="Y4" s="22"/>
      <c r="Z4" s="23">
        <f t="shared" ref="Z4:Z34" si="2">SUM(S4:Y4)</f>
        <v>0</v>
      </c>
      <c r="AA4" s="24"/>
      <c r="AB4" s="78"/>
      <c r="AC4" s="78"/>
      <c r="AD4" s="78"/>
      <c r="AE4" s="78"/>
      <c r="AF4" s="78"/>
      <c r="AG4" s="78"/>
      <c r="AH4" s="3"/>
      <c r="AI4" s="23">
        <f t="shared" ref="AI4:AI34" si="3">SUM(AB4:AH4)</f>
        <v>0</v>
      </c>
      <c r="AJ4" s="7"/>
      <c r="AK4" s="25">
        <f t="shared" ref="AK4:AK34" si="4">I4+Q4</f>
        <v>0</v>
      </c>
      <c r="AL4" s="26">
        <f t="shared" ref="AL4:AL34" si="5">Z4+AI4</f>
        <v>0</v>
      </c>
      <c r="AM4" s="26">
        <f t="shared" ref="AM4:AM34" si="6">AK4+AL4</f>
        <v>0</v>
      </c>
      <c r="AN4" s="8">
        <v>1</v>
      </c>
    </row>
    <row r="5" spans="1:40">
      <c r="A5" s="17" t="s">
        <v>58</v>
      </c>
      <c r="B5" s="78">
        <v>2</v>
      </c>
      <c r="C5" s="78"/>
      <c r="D5" s="78"/>
      <c r="E5" s="78"/>
      <c r="F5" s="78"/>
      <c r="G5" s="78"/>
      <c r="H5" s="3"/>
      <c r="I5" s="18">
        <f t="shared" si="0"/>
        <v>0</v>
      </c>
      <c r="J5" s="19"/>
      <c r="K5" s="78"/>
      <c r="L5" s="78"/>
      <c r="M5" s="78"/>
      <c r="N5" s="78"/>
      <c r="O5" s="78"/>
      <c r="P5" s="78"/>
      <c r="Q5" s="18">
        <f t="shared" si="1"/>
        <v>0</v>
      </c>
      <c r="R5" s="20"/>
      <c r="S5" s="21"/>
      <c r="T5" s="21"/>
      <c r="U5" s="21"/>
      <c r="V5" s="21"/>
      <c r="W5" s="21"/>
      <c r="X5" s="21"/>
      <c r="Y5" s="22"/>
      <c r="Z5" s="23">
        <f t="shared" si="2"/>
        <v>0</v>
      </c>
      <c r="AA5" s="24"/>
      <c r="AB5" s="78"/>
      <c r="AC5" s="78"/>
      <c r="AD5" s="78"/>
      <c r="AE5" s="78"/>
      <c r="AF5" s="78"/>
      <c r="AG5" s="78"/>
      <c r="AH5" s="3"/>
      <c r="AI5" s="23">
        <f t="shared" si="3"/>
        <v>0</v>
      </c>
      <c r="AJ5" s="7"/>
      <c r="AK5" s="25">
        <f t="shared" si="4"/>
        <v>0</v>
      </c>
      <c r="AL5" s="26">
        <f t="shared" si="5"/>
        <v>0</v>
      </c>
      <c r="AM5" s="26">
        <f t="shared" si="6"/>
        <v>0</v>
      </c>
      <c r="AN5" s="8">
        <v>2</v>
      </c>
    </row>
    <row r="6" spans="1:40">
      <c r="A6" s="17" t="s">
        <v>59</v>
      </c>
      <c r="B6" s="78">
        <v>3</v>
      </c>
      <c r="C6" s="78"/>
      <c r="D6" s="78"/>
      <c r="E6" s="78"/>
      <c r="F6" s="78"/>
      <c r="G6" s="78"/>
      <c r="H6" s="3"/>
      <c r="I6" s="18">
        <f t="shared" si="0"/>
        <v>0</v>
      </c>
      <c r="J6" s="19"/>
      <c r="K6" s="78"/>
      <c r="L6" s="78"/>
      <c r="M6" s="78"/>
      <c r="N6" s="78"/>
      <c r="O6" s="78"/>
      <c r="P6" s="78"/>
      <c r="Q6" s="18">
        <f t="shared" si="1"/>
        <v>0</v>
      </c>
      <c r="R6" s="20"/>
      <c r="S6" s="21"/>
      <c r="T6" s="21"/>
      <c r="U6" s="21"/>
      <c r="V6" s="21"/>
      <c r="W6" s="21"/>
      <c r="X6" s="21"/>
      <c r="Y6" s="22"/>
      <c r="Z6" s="23">
        <f t="shared" si="2"/>
        <v>0</v>
      </c>
      <c r="AA6" s="24"/>
      <c r="AB6" s="78"/>
      <c r="AC6" s="78"/>
      <c r="AD6" s="78"/>
      <c r="AE6" s="78"/>
      <c r="AF6" s="78"/>
      <c r="AG6" s="78"/>
      <c r="AH6" s="3"/>
      <c r="AI6" s="23">
        <f t="shared" si="3"/>
        <v>0</v>
      </c>
      <c r="AJ6" s="7"/>
      <c r="AK6" s="25">
        <f t="shared" si="4"/>
        <v>0</v>
      </c>
      <c r="AL6" s="26">
        <f t="shared" si="5"/>
        <v>0</v>
      </c>
      <c r="AM6" s="26">
        <f t="shared" si="6"/>
        <v>0</v>
      </c>
      <c r="AN6" s="8">
        <v>3</v>
      </c>
    </row>
    <row r="7" spans="1:40">
      <c r="A7" s="17" t="s">
        <v>60</v>
      </c>
      <c r="B7" s="78">
        <v>4</v>
      </c>
      <c r="C7" s="78"/>
      <c r="D7" s="78"/>
      <c r="E7" s="78"/>
      <c r="F7" s="78"/>
      <c r="G7" s="78"/>
      <c r="H7" s="3"/>
      <c r="I7" s="18">
        <f t="shared" si="0"/>
        <v>0</v>
      </c>
      <c r="J7" s="19"/>
      <c r="K7" s="78"/>
      <c r="L7" s="78"/>
      <c r="M7" s="78"/>
      <c r="N7" s="78"/>
      <c r="O7" s="78"/>
      <c r="P7" s="78"/>
      <c r="Q7" s="18">
        <f t="shared" si="1"/>
        <v>0</v>
      </c>
      <c r="R7" s="20"/>
      <c r="S7" s="21"/>
      <c r="T7" s="21"/>
      <c r="U7" s="21"/>
      <c r="V7" s="21"/>
      <c r="W7" s="21"/>
      <c r="X7" s="21"/>
      <c r="Y7" s="22"/>
      <c r="Z7" s="23">
        <f t="shared" si="2"/>
        <v>0</v>
      </c>
      <c r="AA7" s="24"/>
      <c r="AB7" s="78"/>
      <c r="AC7" s="78"/>
      <c r="AD7" s="78"/>
      <c r="AE7" s="78"/>
      <c r="AF7" s="78"/>
      <c r="AG7" s="78"/>
      <c r="AH7" s="3"/>
      <c r="AI7" s="23">
        <f t="shared" si="3"/>
        <v>0</v>
      </c>
      <c r="AJ7" s="7"/>
      <c r="AK7" s="25">
        <f t="shared" si="4"/>
        <v>0</v>
      </c>
      <c r="AL7" s="26">
        <f t="shared" si="5"/>
        <v>0</v>
      </c>
      <c r="AM7" s="26">
        <f t="shared" si="6"/>
        <v>0</v>
      </c>
      <c r="AN7" s="8">
        <v>4</v>
      </c>
    </row>
    <row r="8" spans="1:40">
      <c r="A8" s="17" t="s">
        <v>61</v>
      </c>
      <c r="B8" s="78">
        <v>5</v>
      </c>
      <c r="C8" s="78"/>
      <c r="D8" s="78"/>
      <c r="E8" s="78"/>
      <c r="F8" s="78"/>
      <c r="G8" s="78"/>
      <c r="H8" s="3"/>
      <c r="I8" s="18">
        <f t="shared" si="0"/>
        <v>0</v>
      </c>
      <c r="J8" s="19"/>
      <c r="K8" s="78"/>
      <c r="L8" s="78"/>
      <c r="M8" s="78"/>
      <c r="N8" s="78"/>
      <c r="O8" s="78"/>
      <c r="P8" s="78"/>
      <c r="Q8" s="18">
        <f t="shared" si="1"/>
        <v>0</v>
      </c>
      <c r="R8" s="20"/>
      <c r="S8" s="21"/>
      <c r="T8" s="21"/>
      <c r="U8" s="21"/>
      <c r="V8" s="21"/>
      <c r="W8" s="21"/>
      <c r="X8" s="21"/>
      <c r="Y8" s="22"/>
      <c r="Z8" s="23">
        <f t="shared" si="2"/>
        <v>0</v>
      </c>
      <c r="AA8" s="24"/>
      <c r="AB8" s="78"/>
      <c r="AC8" s="78"/>
      <c r="AD8" s="78"/>
      <c r="AE8" s="78"/>
      <c r="AF8" s="78"/>
      <c r="AG8" s="78"/>
      <c r="AH8" s="3"/>
      <c r="AI8" s="23">
        <f t="shared" si="3"/>
        <v>0</v>
      </c>
      <c r="AJ8" s="7"/>
      <c r="AK8" s="25">
        <f t="shared" si="4"/>
        <v>0</v>
      </c>
      <c r="AL8" s="26">
        <f t="shared" si="5"/>
        <v>0</v>
      </c>
      <c r="AM8" s="26">
        <f t="shared" si="6"/>
        <v>0</v>
      </c>
      <c r="AN8" s="8">
        <v>5</v>
      </c>
    </row>
    <row r="9" spans="1:40">
      <c r="A9" s="17" t="s">
        <v>62</v>
      </c>
      <c r="B9" s="78">
        <v>6</v>
      </c>
      <c r="C9" s="78"/>
      <c r="D9" s="78"/>
      <c r="E9" s="78"/>
      <c r="F9" s="78"/>
      <c r="G9" s="78"/>
      <c r="H9" s="3"/>
      <c r="I9" s="18">
        <f t="shared" si="0"/>
        <v>0</v>
      </c>
      <c r="J9" s="19"/>
      <c r="K9" s="78"/>
      <c r="L9" s="78"/>
      <c r="M9" s="78"/>
      <c r="N9" s="78"/>
      <c r="O9" s="78"/>
      <c r="P9" s="78"/>
      <c r="Q9" s="18">
        <f t="shared" si="1"/>
        <v>0</v>
      </c>
      <c r="R9" s="20"/>
      <c r="S9" s="21"/>
      <c r="T9" s="21"/>
      <c r="U9" s="21"/>
      <c r="V9" s="21"/>
      <c r="W9" s="21"/>
      <c r="X9" s="21"/>
      <c r="Y9" s="22"/>
      <c r="Z9" s="23">
        <f t="shared" si="2"/>
        <v>0</v>
      </c>
      <c r="AA9" s="24"/>
      <c r="AB9" s="78"/>
      <c r="AC9" s="78"/>
      <c r="AD9" s="78"/>
      <c r="AE9" s="78"/>
      <c r="AF9" s="78"/>
      <c r="AG9" s="78"/>
      <c r="AH9" s="3"/>
      <c r="AI9" s="23">
        <f t="shared" si="3"/>
        <v>0</v>
      </c>
      <c r="AJ9" s="7"/>
      <c r="AK9" s="25">
        <f t="shared" si="4"/>
        <v>0</v>
      </c>
      <c r="AL9" s="26">
        <f t="shared" si="5"/>
        <v>0</v>
      </c>
      <c r="AM9" s="26">
        <f t="shared" si="6"/>
        <v>0</v>
      </c>
      <c r="AN9" s="8">
        <v>6</v>
      </c>
    </row>
    <row r="10" spans="1:40">
      <c r="A10" s="17" t="s">
        <v>63</v>
      </c>
      <c r="B10" s="78">
        <v>7</v>
      </c>
      <c r="C10" s="78"/>
      <c r="D10" s="78"/>
      <c r="E10" s="78"/>
      <c r="F10" s="78"/>
      <c r="G10" s="78"/>
      <c r="H10" s="3"/>
      <c r="I10" s="18">
        <f t="shared" si="0"/>
        <v>0</v>
      </c>
      <c r="J10" s="19"/>
      <c r="K10" s="78"/>
      <c r="L10" s="78"/>
      <c r="M10" s="78"/>
      <c r="N10" s="78"/>
      <c r="O10" s="78"/>
      <c r="P10" s="78"/>
      <c r="Q10" s="18">
        <f t="shared" si="1"/>
        <v>0</v>
      </c>
      <c r="R10" s="20"/>
      <c r="S10" s="21"/>
      <c r="T10" s="21"/>
      <c r="U10" s="21"/>
      <c r="V10" s="21"/>
      <c r="W10" s="21"/>
      <c r="X10" s="21"/>
      <c r="Y10" s="22"/>
      <c r="Z10" s="23">
        <f t="shared" si="2"/>
        <v>0</v>
      </c>
      <c r="AA10" s="24"/>
      <c r="AB10" s="78"/>
      <c r="AC10" s="78"/>
      <c r="AD10" s="78"/>
      <c r="AE10" s="78"/>
      <c r="AF10" s="78"/>
      <c r="AG10" s="78"/>
      <c r="AH10" s="3"/>
      <c r="AI10" s="23">
        <f t="shared" si="3"/>
        <v>0</v>
      </c>
      <c r="AJ10" s="7"/>
      <c r="AK10" s="25">
        <f t="shared" si="4"/>
        <v>0</v>
      </c>
      <c r="AL10" s="26">
        <f t="shared" si="5"/>
        <v>0</v>
      </c>
      <c r="AM10" s="26">
        <f t="shared" si="6"/>
        <v>0</v>
      </c>
      <c r="AN10" s="8">
        <v>7</v>
      </c>
    </row>
    <row r="11" spans="1:40">
      <c r="A11" s="17" t="s">
        <v>57</v>
      </c>
      <c r="B11" s="78">
        <v>8</v>
      </c>
      <c r="C11" s="78"/>
      <c r="D11" s="78"/>
      <c r="E11" s="78"/>
      <c r="F11" s="78"/>
      <c r="G11" s="78"/>
      <c r="H11" s="3"/>
      <c r="I11" s="18">
        <f t="shared" si="0"/>
        <v>0</v>
      </c>
      <c r="J11" s="19"/>
      <c r="K11" s="78"/>
      <c r="L11" s="78"/>
      <c r="M11" s="78"/>
      <c r="N11" s="78"/>
      <c r="O11" s="78"/>
      <c r="P11" s="78"/>
      <c r="Q11" s="18">
        <f t="shared" si="1"/>
        <v>0</v>
      </c>
      <c r="R11" s="20"/>
      <c r="S11" s="21"/>
      <c r="T11" s="21"/>
      <c r="U11" s="21"/>
      <c r="V11" s="21"/>
      <c r="W11" s="21"/>
      <c r="X11" s="21"/>
      <c r="Y11" s="22"/>
      <c r="Z11" s="23">
        <f t="shared" si="2"/>
        <v>0</v>
      </c>
      <c r="AA11" s="24"/>
      <c r="AB11" s="78"/>
      <c r="AC11" s="78"/>
      <c r="AD11" s="78"/>
      <c r="AE11" s="78"/>
      <c r="AF11" s="78"/>
      <c r="AG11" s="78"/>
      <c r="AH11" s="3"/>
      <c r="AI11" s="23">
        <f t="shared" si="3"/>
        <v>0</v>
      </c>
      <c r="AJ11" s="7"/>
      <c r="AK11" s="25">
        <f t="shared" si="4"/>
        <v>0</v>
      </c>
      <c r="AL11" s="26">
        <f t="shared" si="5"/>
        <v>0</v>
      </c>
      <c r="AM11" s="26">
        <f t="shared" si="6"/>
        <v>0</v>
      </c>
      <c r="AN11" s="8">
        <v>8</v>
      </c>
    </row>
    <row r="12" spans="1:40">
      <c r="A12" s="17" t="s">
        <v>58</v>
      </c>
      <c r="B12" s="78">
        <v>9</v>
      </c>
      <c r="C12" s="78"/>
      <c r="D12" s="78"/>
      <c r="E12" s="78"/>
      <c r="F12" s="78"/>
      <c r="G12" s="78"/>
      <c r="H12" s="3"/>
      <c r="I12" s="18">
        <f t="shared" si="0"/>
        <v>0</v>
      </c>
      <c r="J12" s="19"/>
      <c r="K12" s="78"/>
      <c r="L12" s="78"/>
      <c r="M12" s="78"/>
      <c r="N12" s="78"/>
      <c r="O12" s="78"/>
      <c r="P12" s="78"/>
      <c r="Q12" s="18">
        <f t="shared" si="1"/>
        <v>0</v>
      </c>
      <c r="R12" s="20"/>
      <c r="S12" s="21"/>
      <c r="T12" s="21"/>
      <c r="U12" s="21"/>
      <c r="V12" s="21"/>
      <c r="W12" s="21"/>
      <c r="X12" s="21"/>
      <c r="Y12" s="22"/>
      <c r="Z12" s="23">
        <f t="shared" si="2"/>
        <v>0</v>
      </c>
      <c r="AA12" s="24"/>
      <c r="AB12" s="78"/>
      <c r="AC12" s="78"/>
      <c r="AD12" s="78"/>
      <c r="AE12" s="78"/>
      <c r="AF12" s="78"/>
      <c r="AG12" s="78"/>
      <c r="AH12" s="3"/>
      <c r="AI12" s="23">
        <f t="shared" si="3"/>
        <v>0</v>
      </c>
      <c r="AJ12" s="7"/>
      <c r="AK12" s="25">
        <f t="shared" si="4"/>
        <v>0</v>
      </c>
      <c r="AL12" s="26">
        <f t="shared" si="5"/>
        <v>0</v>
      </c>
      <c r="AM12" s="26">
        <f t="shared" si="6"/>
        <v>0</v>
      </c>
      <c r="AN12" s="8">
        <v>9</v>
      </c>
    </row>
    <row r="13" spans="1:40">
      <c r="A13" s="17" t="s">
        <v>59</v>
      </c>
      <c r="B13" s="78">
        <v>10</v>
      </c>
      <c r="C13" s="78"/>
      <c r="D13" s="78"/>
      <c r="E13" s="78"/>
      <c r="F13" s="78"/>
      <c r="G13" s="78"/>
      <c r="H13" s="3"/>
      <c r="I13" s="18">
        <f t="shared" si="0"/>
        <v>0</v>
      </c>
      <c r="J13" s="19"/>
      <c r="K13" s="78"/>
      <c r="L13" s="78"/>
      <c r="M13" s="78"/>
      <c r="N13" s="78"/>
      <c r="O13" s="78"/>
      <c r="P13" s="78"/>
      <c r="Q13" s="18">
        <f t="shared" si="1"/>
        <v>0</v>
      </c>
      <c r="R13" s="20"/>
      <c r="S13" s="21"/>
      <c r="T13" s="21"/>
      <c r="U13" s="21"/>
      <c r="V13" s="21"/>
      <c r="W13" s="21"/>
      <c r="X13" s="21"/>
      <c r="Y13" s="22"/>
      <c r="Z13" s="23">
        <f t="shared" si="2"/>
        <v>0</v>
      </c>
      <c r="AA13" s="24"/>
      <c r="AB13" s="78"/>
      <c r="AC13" s="78"/>
      <c r="AD13" s="78"/>
      <c r="AE13" s="78"/>
      <c r="AF13" s="78"/>
      <c r="AG13" s="78"/>
      <c r="AH13" s="3"/>
      <c r="AI13" s="23">
        <f t="shared" si="3"/>
        <v>0</v>
      </c>
      <c r="AJ13" s="7"/>
      <c r="AK13" s="25">
        <f t="shared" si="4"/>
        <v>0</v>
      </c>
      <c r="AL13" s="26">
        <f t="shared" si="5"/>
        <v>0</v>
      </c>
      <c r="AM13" s="26">
        <f t="shared" si="6"/>
        <v>0</v>
      </c>
      <c r="AN13" s="8">
        <v>10</v>
      </c>
    </row>
    <row r="14" spans="1:40">
      <c r="A14" s="17" t="s">
        <v>60</v>
      </c>
      <c r="B14" s="78">
        <v>11</v>
      </c>
      <c r="C14" s="78"/>
      <c r="D14" s="78"/>
      <c r="E14" s="78"/>
      <c r="F14" s="78"/>
      <c r="G14" s="78"/>
      <c r="H14" s="3"/>
      <c r="I14" s="18">
        <f t="shared" si="0"/>
        <v>0</v>
      </c>
      <c r="J14" s="19"/>
      <c r="K14" s="78"/>
      <c r="L14" s="78"/>
      <c r="M14" s="78"/>
      <c r="N14" s="78"/>
      <c r="O14" s="78"/>
      <c r="P14" s="78"/>
      <c r="Q14" s="18">
        <f t="shared" si="1"/>
        <v>0</v>
      </c>
      <c r="R14" s="20"/>
      <c r="S14" s="21"/>
      <c r="T14" s="21"/>
      <c r="U14" s="21"/>
      <c r="V14" s="21"/>
      <c r="W14" s="21"/>
      <c r="X14" s="21"/>
      <c r="Y14" s="22"/>
      <c r="Z14" s="23">
        <f t="shared" si="2"/>
        <v>0</v>
      </c>
      <c r="AA14" s="24"/>
      <c r="AB14" s="78"/>
      <c r="AC14" s="78"/>
      <c r="AD14" s="78"/>
      <c r="AE14" s="78"/>
      <c r="AF14" s="78"/>
      <c r="AG14" s="78"/>
      <c r="AH14" s="3"/>
      <c r="AI14" s="23">
        <f t="shared" si="3"/>
        <v>0</v>
      </c>
      <c r="AJ14" s="7"/>
      <c r="AK14" s="25">
        <f t="shared" si="4"/>
        <v>0</v>
      </c>
      <c r="AL14" s="26">
        <f t="shared" si="5"/>
        <v>0</v>
      </c>
      <c r="AM14" s="26">
        <f t="shared" si="6"/>
        <v>0</v>
      </c>
      <c r="AN14" s="8">
        <v>11</v>
      </c>
    </row>
    <row r="15" spans="1:40">
      <c r="A15" s="17" t="s">
        <v>61</v>
      </c>
      <c r="B15" s="78">
        <v>12</v>
      </c>
      <c r="C15" s="78"/>
      <c r="D15" s="78"/>
      <c r="E15" s="78"/>
      <c r="F15" s="78"/>
      <c r="G15" s="78"/>
      <c r="H15" s="3"/>
      <c r="I15" s="18">
        <f t="shared" si="0"/>
        <v>0</v>
      </c>
      <c r="J15" s="19"/>
      <c r="K15" s="78"/>
      <c r="L15" s="78"/>
      <c r="M15" s="78"/>
      <c r="N15" s="78"/>
      <c r="O15" s="78"/>
      <c r="P15" s="78"/>
      <c r="Q15" s="18">
        <f t="shared" si="1"/>
        <v>0</v>
      </c>
      <c r="R15" s="20"/>
      <c r="S15" s="21"/>
      <c r="T15" s="21"/>
      <c r="U15" s="21"/>
      <c r="V15" s="21"/>
      <c r="W15" s="21"/>
      <c r="X15" s="21"/>
      <c r="Y15" s="22"/>
      <c r="Z15" s="23">
        <f t="shared" si="2"/>
        <v>0</v>
      </c>
      <c r="AA15" s="24"/>
      <c r="AB15" s="78"/>
      <c r="AC15" s="78"/>
      <c r="AD15" s="78"/>
      <c r="AE15" s="78"/>
      <c r="AF15" s="78"/>
      <c r="AG15" s="78"/>
      <c r="AH15" s="3"/>
      <c r="AI15" s="23">
        <f t="shared" si="3"/>
        <v>0</v>
      </c>
      <c r="AJ15" s="7"/>
      <c r="AK15" s="25">
        <f t="shared" si="4"/>
        <v>0</v>
      </c>
      <c r="AL15" s="26">
        <f t="shared" si="5"/>
        <v>0</v>
      </c>
      <c r="AM15" s="26">
        <f t="shared" si="6"/>
        <v>0</v>
      </c>
      <c r="AN15" s="8">
        <v>12</v>
      </c>
    </row>
    <row r="16" spans="1:40">
      <c r="A16" s="17" t="s">
        <v>62</v>
      </c>
      <c r="B16" s="78">
        <v>13</v>
      </c>
      <c r="C16" s="78"/>
      <c r="D16" s="78"/>
      <c r="E16" s="78"/>
      <c r="F16" s="78"/>
      <c r="G16" s="78"/>
      <c r="H16" s="3"/>
      <c r="I16" s="18">
        <f t="shared" si="0"/>
        <v>0</v>
      </c>
      <c r="J16" s="19"/>
      <c r="K16" s="78"/>
      <c r="L16" s="78"/>
      <c r="M16" s="78"/>
      <c r="N16" s="78"/>
      <c r="O16" s="78"/>
      <c r="P16" s="78"/>
      <c r="Q16" s="18">
        <f t="shared" si="1"/>
        <v>0</v>
      </c>
      <c r="R16" s="20"/>
      <c r="S16" s="21"/>
      <c r="T16" s="21"/>
      <c r="U16" s="21"/>
      <c r="V16" s="21"/>
      <c r="W16" s="21"/>
      <c r="X16" s="21"/>
      <c r="Y16" s="22"/>
      <c r="Z16" s="23">
        <f t="shared" si="2"/>
        <v>0</v>
      </c>
      <c r="AA16" s="24"/>
      <c r="AB16" s="78"/>
      <c r="AC16" s="78"/>
      <c r="AD16" s="78"/>
      <c r="AE16" s="78"/>
      <c r="AF16" s="78"/>
      <c r="AG16" s="78"/>
      <c r="AH16" s="3"/>
      <c r="AI16" s="23">
        <f t="shared" si="3"/>
        <v>0</v>
      </c>
      <c r="AJ16" s="7"/>
      <c r="AK16" s="25">
        <f t="shared" si="4"/>
        <v>0</v>
      </c>
      <c r="AL16" s="26">
        <f t="shared" si="5"/>
        <v>0</v>
      </c>
      <c r="AM16" s="26">
        <f t="shared" si="6"/>
        <v>0</v>
      </c>
      <c r="AN16" s="8">
        <v>13</v>
      </c>
    </row>
    <row r="17" spans="1:40">
      <c r="A17" s="17" t="s">
        <v>63</v>
      </c>
      <c r="B17" s="78">
        <v>14</v>
      </c>
      <c r="C17" s="78"/>
      <c r="D17" s="78"/>
      <c r="E17" s="78"/>
      <c r="F17" s="78"/>
      <c r="G17" s="78"/>
      <c r="H17" s="3"/>
      <c r="I17" s="18">
        <f t="shared" si="0"/>
        <v>0</v>
      </c>
      <c r="J17" s="19"/>
      <c r="K17" s="78"/>
      <c r="L17" s="78"/>
      <c r="M17" s="78"/>
      <c r="N17" s="78"/>
      <c r="O17" s="78"/>
      <c r="P17" s="78"/>
      <c r="Q17" s="18">
        <f t="shared" si="1"/>
        <v>0</v>
      </c>
      <c r="R17" s="20"/>
      <c r="S17" s="21"/>
      <c r="T17" s="21"/>
      <c r="U17" s="21"/>
      <c r="V17" s="21"/>
      <c r="W17" s="21"/>
      <c r="X17" s="21"/>
      <c r="Y17" s="22"/>
      <c r="Z17" s="23">
        <f t="shared" si="2"/>
        <v>0</v>
      </c>
      <c r="AA17" s="24"/>
      <c r="AB17" s="78"/>
      <c r="AC17" s="78"/>
      <c r="AD17" s="78"/>
      <c r="AE17" s="78"/>
      <c r="AF17" s="78"/>
      <c r="AG17" s="78"/>
      <c r="AH17" s="3"/>
      <c r="AI17" s="23">
        <f t="shared" si="3"/>
        <v>0</v>
      </c>
      <c r="AJ17" s="7"/>
      <c r="AK17" s="25">
        <f t="shared" si="4"/>
        <v>0</v>
      </c>
      <c r="AL17" s="26">
        <f t="shared" si="5"/>
        <v>0</v>
      </c>
      <c r="AM17" s="26">
        <f t="shared" si="6"/>
        <v>0</v>
      </c>
      <c r="AN17" s="8">
        <v>14</v>
      </c>
    </row>
    <row r="18" spans="1:40">
      <c r="A18" s="17" t="s">
        <v>57</v>
      </c>
      <c r="B18" s="78">
        <v>15</v>
      </c>
      <c r="C18" s="78"/>
      <c r="D18" s="78"/>
      <c r="E18" s="78"/>
      <c r="F18" s="78"/>
      <c r="G18" s="78"/>
      <c r="H18" s="3"/>
      <c r="I18" s="18">
        <f t="shared" si="0"/>
        <v>0</v>
      </c>
      <c r="J18" s="19"/>
      <c r="K18" s="78"/>
      <c r="L18" s="78"/>
      <c r="M18" s="78"/>
      <c r="N18" s="78"/>
      <c r="O18" s="78"/>
      <c r="P18" s="78"/>
      <c r="Q18" s="18">
        <f t="shared" si="1"/>
        <v>0</v>
      </c>
      <c r="R18" s="20"/>
      <c r="S18" s="21"/>
      <c r="T18" s="21"/>
      <c r="U18" s="21"/>
      <c r="V18" s="21"/>
      <c r="W18" s="21"/>
      <c r="X18" s="21"/>
      <c r="Y18" s="22"/>
      <c r="Z18" s="23">
        <f t="shared" si="2"/>
        <v>0</v>
      </c>
      <c r="AA18" s="24"/>
      <c r="AB18" s="78"/>
      <c r="AC18" s="78"/>
      <c r="AD18" s="78"/>
      <c r="AE18" s="78"/>
      <c r="AF18" s="78"/>
      <c r="AG18" s="78"/>
      <c r="AH18" s="3"/>
      <c r="AI18" s="23">
        <f t="shared" si="3"/>
        <v>0</v>
      </c>
      <c r="AJ18" s="7"/>
      <c r="AK18" s="25">
        <f t="shared" si="4"/>
        <v>0</v>
      </c>
      <c r="AL18" s="26">
        <f t="shared" si="5"/>
        <v>0</v>
      </c>
      <c r="AM18" s="26">
        <f t="shared" si="6"/>
        <v>0</v>
      </c>
      <c r="AN18" s="8">
        <v>15</v>
      </c>
    </row>
    <row r="19" spans="1:40">
      <c r="A19" s="17" t="s">
        <v>58</v>
      </c>
      <c r="B19" s="78">
        <v>16</v>
      </c>
      <c r="C19" s="78"/>
      <c r="D19" s="78"/>
      <c r="E19" s="78"/>
      <c r="F19" s="78"/>
      <c r="G19" s="78"/>
      <c r="H19" s="3"/>
      <c r="I19" s="18">
        <f t="shared" si="0"/>
        <v>0</v>
      </c>
      <c r="J19" s="19"/>
      <c r="K19" s="78"/>
      <c r="L19" s="78"/>
      <c r="M19" s="78"/>
      <c r="N19" s="78"/>
      <c r="O19" s="78"/>
      <c r="P19" s="78"/>
      <c r="Q19" s="18">
        <f t="shared" si="1"/>
        <v>0</v>
      </c>
      <c r="R19" s="20"/>
      <c r="S19" s="21"/>
      <c r="T19" s="21"/>
      <c r="U19" s="21"/>
      <c r="V19" s="21"/>
      <c r="W19" s="21"/>
      <c r="X19" s="21"/>
      <c r="Y19" s="22"/>
      <c r="Z19" s="23">
        <f t="shared" si="2"/>
        <v>0</v>
      </c>
      <c r="AA19" s="24"/>
      <c r="AB19" s="78"/>
      <c r="AC19" s="78"/>
      <c r="AD19" s="78"/>
      <c r="AE19" s="78"/>
      <c r="AF19" s="78"/>
      <c r="AG19" s="78"/>
      <c r="AH19" s="3"/>
      <c r="AI19" s="23">
        <f t="shared" si="3"/>
        <v>0</v>
      </c>
      <c r="AJ19" s="7"/>
      <c r="AK19" s="25">
        <f t="shared" si="4"/>
        <v>0</v>
      </c>
      <c r="AL19" s="26">
        <f t="shared" si="5"/>
        <v>0</v>
      </c>
      <c r="AM19" s="26">
        <f t="shared" si="6"/>
        <v>0</v>
      </c>
      <c r="AN19" s="8">
        <v>16</v>
      </c>
    </row>
    <row r="20" spans="1:40">
      <c r="A20" s="17" t="s">
        <v>59</v>
      </c>
      <c r="B20" s="78">
        <v>17</v>
      </c>
      <c r="C20" s="78"/>
      <c r="D20" s="78"/>
      <c r="E20" s="78"/>
      <c r="F20" s="78"/>
      <c r="G20" s="78"/>
      <c r="H20" s="3"/>
      <c r="I20" s="18">
        <f t="shared" si="0"/>
        <v>0</v>
      </c>
      <c r="J20" s="19"/>
      <c r="K20" s="78"/>
      <c r="L20" s="78"/>
      <c r="M20" s="78"/>
      <c r="N20" s="78"/>
      <c r="O20" s="78"/>
      <c r="P20" s="78"/>
      <c r="Q20" s="18">
        <f t="shared" si="1"/>
        <v>0</v>
      </c>
      <c r="R20" s="20"/>
      <c r="S20" s="21"/>
      <c r="T20" s="21"/>
      <c r="U20" s="21"/>
      <c r="V20" s="21"/>
      <c r="W20" s="21"/>
      <c r="X20" s="21"/>
      <c r="Y20" s="22"/>
      <c r="Z20" s="23">
        <f t="shared" si="2"/>
        <v>0</v>
      </c>
      <c r="AA20" s="24"/>
      <c r="AB20" s="78"/>
      <c r="AC20" s="78"/>
      <c r="AD20" s="78"/>
      <c r="AE20" s="78"/>
      <c r="AF20" s="78"/>
      <c r="AG20" s="78"/>
      <c r="AH20" s="3"/>
      <c r="AI20" s="23">
        <f t="shared" si="3"/>
        <v>0</v>
      </c>
      <c r="AJ20" s="7"/>
      <c r="AK20" s="25">
        <f t="shared" si="4"/>
        <v>0</v>
      </c>
      <c r="AL20" s="26">
        <f t="shared" si="5"/>
        <v>0</v>
      </c>
      <c r="AM20" s="26">
        <f t="shared" si="6"/>
        <v>0</v>
      </c>
      <c r="AN20" s="8">
        <v>17</v>
      </c>
    </row>
    <row r="21" spans="1:40">
      <c r="A21" s="17" t="s">
        <v>60</v>
      </c>
      <c r="B21" s="78">
        <v>18</v>
      </c>
      <c r="C21" s="78"/>
      <c r="D21" s="78"/>
      <c r="E21" s="78"/>
      <c r="F21" s="78"/>
      <c r="G21" s="78"/>
      <c r="H21" s="3"/>
      <c r="I21" s="18">
        <f t="shared" si="0"/>
        <v>0</v>
      </c>
      <c r="J21" s="19"/>
      <c r="K21" s="78"/>
      <c r="L21" s="78"/>
      <c r="M21" s="78"/>
      <c r="N21" s="78"/>
      <c r="O21" s="78"/>
      <c r="P21" s="78"/>
      <c r="Q21" s="18">
        <f t="shared" si="1"/>
        <v>0</v>
      </c>
      <c r="R21" s="20"/>
      <c r="S21" s="21"/>
      <c r="T21" s="21"/>
      <c r="U21" s="21"/>
      <c r="V21" s="21"/>
      <c r="W21" s="21"/>
      <c r="X21" s="21"/>
      <c r="Y21" s="22"/>
      <c r="Z21" s="23">
        <f t="shared" si="2"/>
        <v>0</v>
      </c>
      <c r="AA21" s="24"/>
      <c r="AB21" s="78"/>
      <c r="AC21" s="78"/>
      <c r="AD21" s="78"/>
      <c r="AE21" s="78"/>
      <c r="AF21" s="78"/>
      <c r="AG21" s="78"/>
      <c r="AH21" s="3"/>
      <c r="AI21" s="23">
        <f t="shared" si="3"/>
        <v>0</v>
      </c>
      <c r="AJ21" s="7"/>
      <c r="AK21" s="25">
        <f t="shared" si="4"/>
        <v>0</v>
      </c>
      <c r="AL21" s="26">
        <f t="shared" si="5"/>
        <v>0</v>
      </c>
      <c r="AM21" s="26">
        <f t="shared" si="6"/>
        <v>0</v>
      </c>
      <c r="AN21" s="8">
        <v>18</v>
      </c>
    </row>
    <row r="22" spans="1:40">
      <c r="A22" s="17" t="s">
        <v>61</v>
      </c>
      <c r="B22" s="78">
        <v>19</v>
      </c>
      <c r="C22" s="78"/>
      <c r="D22" s="78"/>
      <c r="E22" s="78"/>
      <c r="F22" s="78"/>
      <c r="G22" s="78"/>
      <c r="H22" s="3"/>
      <c r="I22" s="18">
        <f t="shared" si="0"/>
        <v>0</v>
      </c>
      <c r="J22" s="19"/>
      <c r="K22" s="78"/>
      <c r="L22" s="78"/>
      <c r="M22" s="78"/>
      <c r="N22" s="78"/>
      <c r="O22" s="78"/>
      <c r="P22" s="78"/>
      <c r="Q22" s="18">
        <f t="shared" si="1"/>
        <v>0</v>
      </c>
      <c r="R22" s="20"/>
      <c r="S22" s="21"/>
      <c r="T22" s="21"/>
      <c r="U22" s="21"/>
      <c r="V22" s="21"/>
      <c r="W22" s="21"/>
      <c r="X22" s="21"/>
      <c r="Y22" s="22"/>
      <c r="Z22" s="23">
        <f t="shared" si="2"/>
        <v>0</v>
      </c>
      <c r="AA22" s="24"/>
      <c r="AB22" s="78"/>
      <c r="AC22" s="78"/>
      <c r="AD22" s="78"/>
      <c r="AE22" s="78"/>
      <c r="AF22" s="78"/>
      <c r="AG22" s="78"/>
      <c r="AH22" s="3"/>
      <c r="AI22" s="23">
        <f t="shared" si="3"/>
        <v>0</v>
      </c>
      <c r="AJ22" s="7"/>
      <c r="AK22" s="25">
        <f t="shared" si="4"/>
        <v>0</v>
      </c>
      <c r="AL22" s="26">
        <f t="shared" si="5"/>
        <v>0</v>
      </c>
      <c r="AM22" s="26">
        <f t="shared" si="6"/>
        <v>0</v>
      </c>
      <c r="AN22" s="8">
        <v>19</v>
      </c>
    </row>
    <row r="23" spans="1:40">
      <c r="A23" s="17" t="s">
        <v>62</v>
      </c>
      <c r="B23" s="78">
        <v>20</v>
      </c>
      <c r="C23" s="78"/>
      <c r="D23" s="78"/>
      <c r="E23" s="78"/>
      <c r="F23" s="78"/>
      <c r="G23" s="78"/>
      <c r="H23" s="3"/>
      <c r="I23" s="18">
        <f t="shared" si="0"/>
        <v>0</v>
      </c>
      <c r="J23" s="19"/>
      <c r="K23" s="78"/>
      <c r="L23" s="78"/>
      <c r="M23" s="78"/>
      <c r="N23" s="78"/>
      <c r="O23" s="78"/>
      <c r="P23" s="78"/>
      <c r="Q23" s="18">
        <f t="shared" si="1"/>
        <v>0</v>
      </c>
      <c r="R23" s="20"/>
      <c r="S23" s="21"/>
      <c r="T23" s="21"/>
      <c r="U23" s="21"/>
      <c r="V23" s="21"/>
      <c r="W23" s="21"/>
      <c r="X23" s="21"/>
      <c r="Y23" s="22"/>
      <c r="Z23" s="23">
        <f t="shared" si="2"/>
        <v>0</v>
      </c>
      <c r="AA23" s="24"/>
      <c r="AB23" s="78"/>
      <c r="AC23" s="78"/>
      <c r="AD23" s="78"/>
      <c r="AE23" s="78"/>
      <c r="AF23" s="78"/>
      <c r="AG23" s="78"/>
      <c r="AH23" s="3"/>
      <c r="AI23" s="23">
        <f t="shared" si="3"/>
        <v>0</v>
      </c>
      <c r="AJ23" s="7"/>
      <c r="AK23" s="25">
        <f t="shared" si="4"/>
        <v>0</v>
      </c>
      <c r="AL23" s="26">
        <f t="shared" si="5"/>
        <v>0</v>
      </c>
      <c r="AM23" s="26">
        <f t="shared" si="6"/>
        <v>0</v>
      </c>
      <c r="AN23" s="8">
        <v>20</v>
      </c>
    </row>
    <row r="24" spans="1:40">
      <c r="A24" s="17" t="s">
        <v>63</v>
      </c>
      <c r="B24" s="78">
        <v>21</v>
      </c>
      <c r="C24" s="78"/>
      <c r="D24" s="78"/>
      <c r="E24" s="78"/>
      <c r="F24" s="78"/>
      <c r="G24" s="78"/>
      <c r="H24" s="3"/>
      <c r="I24" s="18">
        <f t="shared" si="0"/>
        <v>0</v>
      </c>
      <c r="J24" s="19"/>
      <c r="K24" s="78"/>
      <c r="L24" s="78"/>
      <c r="M24" s="78"/>
      <c r="N24" s="78"/>
      <c r="O24" s="78"/>
      <c r="P24" s="78"/>
      <c r="Q24" s="18">
        <f t="shared" si="1"/>
        <v>0</v>
      </c>
      <c r="R24" s="20"/>
      <c r="S24" s="21"/>
      <c r="T24" s="21"/>
      <c r="U24" s="21"/>
      <c r="V24" s="21"/>
      <c r="W24" s="21"/>
      <c r="X24" s="21"/>
      <c r="Y24" s="22"/>
      <c r="Z24" s="23">
        <f t="shared" si="2"/>
        <v>0</v>
      </c>
      <c r="AA24" s="24"/>
      <c r="AB24" s="78"/>
      <c r="AC24" s="78"/>
      <c r="AD24" s="78"/>
      <c r="AE24" s="78"/>
      <c r="AF24" s="78"/>
      <c r="AG24" s="78"/>
      <c r="AH24" s="3"/>
      <c r="AI24" s="23">
        <f t="shared" si="3"/>
        <v>0</v>
      </c>
      <c r="AJ24" s="7"/>
      <c r="AK24" s="25">
        <f t="shared" si="4"/>
        <v>0</v>
      </c>
      <c r="AL24" s="26">
        <f t="shared" si="5"/>
        <v>0</v>
      </c>
      <c r="AM24" s="26">
        <f t="shared" si="6"/>
        <v>0</v>
      </c>
      <c r="AN24" s="8">
        <v>21</v>
      </c>
    </row>
    <row r="25" spans="1:40">
      <c r="A25" s="17" t="s">
        <v>57</v>
      </c>
      <c r="B25" s="78">
        <v>22</v>
      </c>
      <c r="C25" s="78"/>
      <c r="D25" s="78"/>
      <c r="E25" s="78"/>
      <c r="F25" s="78"/>
      <c r="G25" s="78"/>
      <c r="H25" s="3"/>
      <c r="I25" s="18">
        <f t="shared" si="0"/>
        <v>0</v>
      </c>
      <c r="J25" s="19"/>
      <c r="K25" s="78"/>
      <c r="L25" s="78"/>
      <c r="M25" s="78"/>
      <c r="N25" s="78"/>
      <c r="O25" s="78"/>
      <c r="P25" s="78"/>
      <c r="Q25" s="18">
        <f t="shared" si="1"/>
        <v>0</v>
      </c>
      <c r="R25" s="20"/>
      <c r="S25" s="21"/>
      <c r="T25" s="21"/>
      <c r="U25" s="21"/>
      <c r="V25" s="21"/>
      <c r="W25" s="21"/>
      <c r="X25" s="21"/>
      <c r="Y25" s="22"/>
      <c r="Z25" s="23">
        <f t="shared" si="2"/>
        <v>0</v>
      </c>
      <c r="AA25" s="24"/>
      <c r="AB25" s="78"/>
      <c r="AC25" s="78"/>
      <c r="AD25" s="78"/>
      <c r="AE25" s="78"/>
      <c r="AF25" s="78"/>
      <c r="AG25" s="78"/>
      <c r="AH25" s="3"/>
      <c r="AI25" s="23">
        <f t="shared" si="3"/>
        <v>0</v>
      </c>
      <c r="AJ25" s="7"/>
      <c r="AK25" s="25">
        <f t="shared" si="4"/>
        <v>0</v>
      </c>
      <c r="AL25" s="26">
        <f t="shared" si="5"/>
        <v>0</v>
      </c>
      <c r="AM25" s="26">
        <f t="shared" si="6"/>
        <v>0</v>
      </c>
      <c r="AN25" s="8">
        <v>22</v>
      </c>
    </row>
    <row r="26" spans="1:40">
      <c r="A26" s="17" t="s">
        <v>58</v>
      </c>
      <c r="B26" s="78">
        <v>23</v>
      </c>
      <c r="C26" s="78"/>
      <c r="D26" s="78"/>
      <c r="E26" s="78"/>
      <c r="F26" s="78"/>
      <c r="G26" s="78"/>
      <c r="H26" s="3"/>
      <c r="I26" s="18">
        <f t="shared" si="0"/>
        <v>0</v>
      </c>
      <c r="J26" s="19"/>
      <c r="K26" s="78"/>
      <c r="L26" s="78"/>
      <c r="M26" s="78"/>
      <c r="N26" s="78"/>
      <c r="O26" s="78"/>
      <c r="P26" s="78"/>
      <c r="Q26" s="18">
        <f t="shared" si="1"/>
        <v>0</v>
      </c>
      <c r="R26" s="20"/>
      <c r="S26" s="21"/>
      <c r="T26" s="21"/>
      <c r="U26" s="21"/>
      <c r="V26" s="21"/>
      <c r="W26" s="21"/>
      <c r="X26" s="21"/>
      <c r="Y26" s="22"/>
      <c r="Z26" s="23">
        <f t="shared" si="2"/>
        <v>0</v>
      </c>
      <c r="AA26" s="24"/>
      <c r="AB26" s="78"/>
      <c r="AC26" s="78"/>
      <c r="AD26" s="78"/>
      <c r="AE26" s="78"/>
      <c r="AF26" s="78"/>
      <c r="AG26" s="78"/>
      <c r="AH26" s="3"/>
      <c r="AI26" s="23">
        <f t="shared" si="3"/>
        <v>0</v>
      </c>
      <c r="AJ26" s="7"/>
      <c r="AK26" s="25">
        <f t="shared" si="4"/>
        <v>0</v>
      </c>
      <c r="AL26" s="26">
        <f t="shared" si="5"/>
        <v>0</v>
      </c>
      <c r="AM26" s="26">
        <f t="shared" si="6"/>
        <v>0</v>
      </c>
      <c r="AN26" s="8">
        <v>23</v>
      </c>
    </row>
    <row r="27" spans="1:40">
      <c r="A27" s="17" t="s">
        <v>59</v>
      </c>
      <c r="B27" s="78">
        <v>24</v>
      </c>
      <c r="C27" s="78"/>
      <c r="D27" s="78"/>
      <c r="E27" s="78"/>
      <c r="F27" s="78"/>
      <c r="G27" s="78"/>
      <c r="H27" s="3"/>
      <c r="I27" s="18">
        <f t="shared" si="0"/>
        <v>0</v>
      </c>
      <c r="J27" s="19"/>
      <c r="K27" s="78"/>
      <c r="L27" s="78"/>
      <c r="M27" s="78"/>
      <c r="N27" s="78"/>
      <c r="O27" s="78"/>
      <c r="P27" s="78"/>
      <c r="Q27" s="18">
        <f t="shared" si="1"/>
        <v>0</v>
      </c>
      <c r="R27" s="20"/>
      <c r="S27" s="21"/>
      <c r="T27" s="21"/>
      <c r="U27" s="21"/>
      <c r="V27" s="21"/>
      <c r="W27" s="21"/>
      <c r="X27" s="21"/>
      <c r="Y27" s="22"/>
      <c r="Z27" s="23">
        <f t="shared" si="2"/>
        <v>0</v>
      </c>
      <c r="AA27" s="24"/>
      <c r="AB27" s="78"/>
      <c r="AC27" s="78"/>
      <c r="AD27" s="78"/>
      <c r="AE27" s="78"/>
      <c r="AF27" s="78"/>
      <c r="AG27" s="78"/>
      <c r="AH27" s="3"/>
      <c r="AI27" s="23">
        <f t="shared" si="3"/>
        <v>0</v>
      </c>
      <c r="AJ27" s="7"/>
      <c r="AK27" s="25">
        <f t="shared" si="4"/>
        <v>0</v>
      </c>
      <c r="AL27" s="26">
        <f t="shared" si="5"/>
        <v>0</v>
      </c>
      <c r="AM27" s="26">
        <f t="shared" si="6"/>
        <v>0</v>
      </c>
      <c r="AN27" s="8">
        <v>24</v>
      </c>
    </row>
    <row r="28" spans="1:40">
      <c r="A28" s="17" t="s">
        <v>60</v>
      </c>
      <c r="B28" s="78">
        <v>25</v>
      </c>
      <c r="C28" s="78"/>
      <c r="D28" s="78"/>
      <c r="E28" s="78"/>
      <c r="F28" s="78"/>
      <c r="G28" s="78"/>
      <c r="H28" s="3"/>
      <c r="I28" s="18">
        <f t="shared" si="0"/>
        <v>0</v>
      </c>
      <c r="J28" s="19"/>
      <c r="K28" s="78"/>
      <c r="L28" s="78"/>
      <c r="M28" s="78"/>
      <c r="N28" s="78"/>
      <c r="O28" s="78"/>
      <c r="P28" s="78"/>
      <c r="Q28" s="18">
        <f t="shared" si="1"/>
        <v>0</v>
      </c>
      <c r="R28" s="20"/>
      <c r="S28" s="21"/>
      <c r="T28" s="21"/>
      <c r="U28" s="21"/>
      <c r="V28" s="21"/>
      <c r="W28" s="21"/>
      <c r="X28" s="21"/>
      <c r="Y28" s="22"/>
      <c r="Z28" s="23">
        <f t="shared" si="2"/>
        <v>0</v>
      </c>
      <c r="AA28" s="24"/>
      <c r="AB28" s="78"/>
      <c r="AC28" s="78"/>
      <c r="AD28" s="78"/>
      <c r="AE28" s="78"/>
      <c r="AF28" s="78"/>
      <c r="AG28" s="78"/>
      <c r="AH28" s="3"/>
      <c r="AI28" s="23">
        <f t="shared" si="3"/>
        <v>0</v>
      </c>
      <c r="AJ28" s="7"/>
      <c r="AK28" s="25">
        <f t="shared" si="4"/>
        <v>0</v>
      </c>
      <c r="AL28" s="26">
        <f t="shared" si="5"/>
        <v>0</v>
      </c>
      <c r="AM28" s="26">
        <f t="shared" si="6"/>
        <v>0</v>
      </c>
      <c r="AN28" s="8">
        <v>25</v>
      </c>
    </row>
    <row r="29" spans="1:40">
      <c r="A29" s="17" t="s">
        <v>61</v>
      </c>
      <c r="B29" s="78">
        <v>26</v>
      </c>
      <c r="C29" s="78"/>
      <c r="D29" s="78"/>
      <c r="E29" s="78"/>
      <c r="F29" s="78"/>
      <c r="G29" s="78"/>
      <c r="H29" s="3"/>
      <c r="I29" s="18">
        <f t="shared" si="0"/>
        <v>0</v>
      </c>
      <c r="J29" s="19"/>
      <c r="K29" s="78"/>
      <c r="L29" s="78"/>
      <c r="M29" s="78"/>
      <c r="N29" s="78"/>
      <c r="O29" s="78"/>
      <c r="P29" s="78"/>
      <c r="Q29" s="18">
        <f t="shared" si="1"/>
        <v>0</v>
      </c>
      <c r="R29" s="20"/>
      <c r="S29" s="21"/>
      <c r="T29" s="21"/>
      <c r="U29" s="21"/>
      <c r="V29" s="21"/>
      <c r="W29" s="21"/>
      <c r="X29" s="21"/>
      <c r="Y29" s="22"/>
      <c r="Z29" s="23">
        <f t="shared" si="2"/>
        <v>0</v>
      </c>
      <c r="AA29" s="24"/>
      <c r="AB29" s="78"/>
      <c r="AC29" s="78"/>
      <c r="AD29" s="78"/>
      <c r="AE29" s="78"/>
      <c r="AF29" s="78"/>
      <c r="AG29" s="78"/>
      <c r="AH29" s="3"/>
      <c r="AI29" s="23">
        <f t="shared" si="3"/>
        <v>0</v>
      </c>
      <c r="AJ29" s="7"/>
      <c r="AK29" s="25">
        <f t="shared" si="4"/>
        <v>0</v>
      </c>
      <c r="AL29" s="26">
        <f t="shared" si="5"/>
        <v>0</v>
      </c>
      <c r="AM29" s="26">
        <f t="shared" si="6"/>
        <v>0</v>
      </c>
      <c r="AN29" s="8">
        <v>26</v>
      </c>
    </row>
    <row r="30" spans="1:40">
      <c r="A30" s="17" t="s">
        <v>62</v>
      </c>
      <c r="B30" s="78">
        <v>27</v>
      </c>
      <c r="C30" s="78"/>
      <c r="D30" s="78"/>
      <c r="E30" s="78"/>
      <c r="F30" s="78"/>
      <c r="G30" s="78"/>
      <c r="H30" s="3"/>
      <c r="I30" s="18">
        <f t="shared" si="0"/>
        <v>0</v>
      </c>
      <c r="J30" s="19"/>
      <c r="K30" s="78"/>
      <c r="L30" s="78"/>
      <c r="M30" s="78"/>
      <c r="N30" s="78"/>
      <c r="O30" s="78"/>
      <c r="P30" s="78"/>
      <c r="Q30" s="18">
        <f t="shared" si="1"/>
        <v>0</v>
      </c>
      <c r="R30" s="20"/>
      <c r="S30" s="21"/>
      <c r="T30" s="21"/>
      <c r="U30" s="21"/>
      <c r="V30" s="21"/>
      <c r="W30" s="21"/>
      <c r="X30" s="21"/>
      <c r="Y30" s="22"/>
      <c r="Z30" s="23">
        <f t="shared" si="2"/>
        <v>0</v>
      </c>
      <c r="AA30" s="24"/>
      <c r="AB30" s="78"/>
      <c r="AC30" s="78"/>
      <c r="AD30" s="78"/>
      <c r="AE30" s="78"/>
      <c r="AF30" s="78"/>
      <c r="AG30" s="78"/>
      <c r="AH30" s="3"/>
      <c r="AI30" s="23">
        <f t="shared" si="3"/>
        <v>0</v>
      </c>
      <c r="AJ30" s="7"/>
      <c r="AK30" s="25">
        <f t="shared" si="4"/>
        <v>0</v>
      </c>
      <c r="AL30" s="26">
        <f t="shared" si="5"/>
        <v>0</v>
      </c>
      <c r="AM30" s="26">
        <f t="shared" si="6"/>
        <v>0</v>
      </c>
      <c r="AN30" s="8">
        <v>27</v>
      </c>
    </row>
    <row r="31" spans="1:40">
      <c r="A31" s="17" t="s">
        <v>63</v>
      </c>
      <c r="B31" s="78">
        <v>28</v>
      </c>
      <c r="C31" s="78"/>
      <c r="D31" s="78"/>
      <c r="E31" s="78"/>
      <c r="F31" s="78"/>
      <c r="G31" s="78"/>
      <c r="H31" s="3"/>
      <c r="I31" s="18">
        <f t="shared" si="0"/>
        <v>0</v>
      </c>
      <c r="J31" s="19"/>
      <c r="K31" s="78"/>
      <c r="L31" s="78"/>
      <c r="M31" s="78"/>
      <c r="N31" s="78"/>
      <c r="O31" s="78"/>
      <c r="P31" s="78"/>
      <c r="Q31" s="18">
        <f t="shared" si="1"/>
        <v>0</v>
      </c>
      <c r="R31" s="20"/>
      <c r="S31" s="21"/>
      <c r="T31" s="21"/>
      <c r="U31" s="21"/>
      <c r="V31" s="21"/>
      <c r="W31" s="21"/>
      <c r="X31" s="21"/>
      <c r="Y31" s="22"/>
      <c r="Z31" s="23">
        <f t="shared" si="2"/>
        <v>0</v>
      </c>
      <c r="AA31" s="24"/>
      <c r="AB31" s="78"/>
      <c r="AC31" s="78"/>
      <c r="AD31" s="78"/>
      <c r="AE31" s="78"/>
      <c r="AF31" s="78"/>
      <c r="AG31" s="78"/>
      <c r="AH31" s="3"/>
      <c r="AI31" s="23">
        <f t="shared" si="3"/>
        <v>0</v>
      </c>
      <c r="AJ31" s="7"/>
      <c r="AK31" s="25">
        <f t="shared" si="4"/>
        <v>0</v>
      </c>
      <c r="AL31" s="26">
        <f t="shared" si="5"/>
        <v>0</v>
      </c>
      <c r="AM31" s="26">
        <f t="shared" si="6"/>
        <v>0</v>
      </c>
      <c r="AN31" s="8">
        <v>28</v>
      </c>
    </row>
    <row r="32" spans="1:40">
      <c r="A32" s="17" t="s">
        <v>57</v>
      </c>
      <c r="B32" s="78">
        <v>29</v>
      </c>
      <c r="C32" s="78"/>
      <c r="D32" s="78"/>
      <c r="E32" s="78"/>
      <c r="F32" s="78"/>
      <c r="G32" s="78"/>
      <c r="H32" s="3"/>
      <c r="I32" s="18">
        <f t="shared" si="0"/>
        <v>0</v>
      </c>
      <c r="J32" s="19"/>
      <c r="K32" s="78"/>
      <c r="L32" s="78"/>
      <c r="M32" s="78"/>
      <c r="N32" s="78"/>
      <c r="O32" s="78"/>
      <c r="P32" s="78"/>
      <c r="Q32" s="18">
        <f t="shared" si="1"/>
        <v>0</v>
      </c>
      <c r="R32" s="20"/>
      <c r="S32" s="21"/>
      <c r="T32" s="21"/>
      <c r="U32" s="21"/>
      <c r="V32" s="21"/>
      <c r="W32" s="21"/>
      <c r="X32" s="21"/>
      <c r="Y32" s="22"/>
      <c r="Z32" s="23">
        <f t="shared" si="2"/>
        <v>0</v>
      </c>
      <c r="AA32" s="24"/>
      <c r="AB32" s="78"/>
      <c r="AC32" s="78"/>
      <c r="AD32" s="78"/>
      <c r="AE32" s="78"/>
      <c r="AF32" s="78"/>
      <c r="AG32" s="78"/>
      <c r="AH32" s="3"/>
      <c r="AI32" s="23">
        <f t="shared" si="3"/>
        <v>0</v>
      </c>
      <c r="AJ32" s="7"/>
      <c r="AK32" s="25">
        <f t="shared" si="4"/>
        <v>0</v>
      </c>
      <c r="AL32" s="26">
        <f t="shared" si="5"/>
        <v>0</v>
      </c>
      <c r="AM32" s="26">
        <f t="shared" si="6"/>
        <v>0</v>
      </c>
      <c r="AN32" s="8">
        <v>29</v>
      </c>
    </row>
    <row r="33" spans="1:40">
      <c r="A33" s="17" t="s">
        <v>58</v>
      </c>
      <c r="B33" s="78">
        <v>30</v>
      </c>
      <c r="C33" s="78"/>
      <c r="D33" s="78"/>
      <c r="E33" s="78"/>
      <c r="F33" s="78"/>
      <c r="G33" s="78"/>
      <c r="H33" s="3"/>
      <c r="I33" s="18">
        <f t="shared" si="0"/>
        <v>0</v>
      </c>
      <c r="J33" s="19"/>
      <c r="K33" s="78"/>
      <c r="L33" s="78"/>
      <c r="M33" s="78"/>
      <c r="N33" s="78"/>
      <c r="O33" s="78"/>
      <c r="P33" s="78"/>
      <c r="Q33" s="18">
        <f t="shared" si="1"/>
        <v>0</v>
      </c>
      <c r="R33" s="20"/>
      <c r="S33" s="21"/>
      <c r="T33" s="21"/>
      <c r="U33" s="21"/>
      <c r="V33" s="21"/>
      <c r="W33" s="21"/>
      <c r="X33" s="21"/>
      <c r="Y33" s="22"/>
      <c r="Z33" s="23">
        <f t="shared" si="2"/>
        <v>0</v>
      </c>
      <c r="AA33" s="24"/>
      <c r="AB33" s="78"/>
      <c r="AC33" s="78"/>
      <c r="AD33" s="78"/>
      <c r="AE33" s="78"/>
      <c r="AF33" s="78"/>
      <c r="AG33" s="78"/>
      <c r="AH33" s="3"/>
      <c r="AI33" s="23">
        <f t="shared" si="3"/>
        <v>0</v>
      </c>
      <c r="AJ33" s="7"/>
      <c r="AK33" s="25">
        <f t="shared" si="4"/>
        <v>0</v>
      </c>
      <c r="AL33" s="26">
        <f t="shared" si="5"/>
        <v>0</v>
      </c>
      <c r="AM33" s="26">
        <f t="shared" si="6"/>
        <v>0</v>
      </c>
      <c r="AN33" s="8">
        <v>30</v>
      </c>
    </row>
    <row r="34" spans="1:40">
      <c r="A34" s="17"/>
      <c r="C34" s="10"/>
      <c r="D34" s="10"/>
      <c r="E34" s="10"/>
      <c r="F34" s="10"/>
      <c r="G34" s="10"/>
      <c r="H34" s="11"/>
      <c r="I34" s="27">
        <f t="shared" si="0"/>
        <v>0</v>
      </c>
      <c r="J34" s="4"/>
      <c r="K34" s="68"/>
      <c r="L34" s="10"/>
      <c r="M34" s="10"/>
      <c r="N34" s="10"/>
      <c r="O34" s="10"/>
      <c r="P34" s="10"/>
      <c r="Q34" s="27">
        <f t="shared" si="1"/>
        <v>0</v>
      </c>
      <c r="R34" s="20"/>
      <c r="S34" s="28"/>
      <c r="T34" s="28"/>
      <c r="U34" s="28"/>
      <c r="V34" s="28"/>
      <c r="W34" s="28"/>
      <c r="X34" s="28"/>
      <c r="Y34" s="29"/>
      <c r="Z34" s="30">
        <f t="shared" si="2"/>
        <v>0</v>
      </c>
      <c r="AA34" s="24"/>
      <c r="AB34" s="78"/>
      <c r="AC34" s="78"/>
      <c r="AD34" s="78"/>
      <c r="AE34" s="78"/>
      <c r="AF34" s="78"/>
      <c r="AG34" s="78"/>
      <c r="AH34" s="3"/>
      <c r="AI34" s="23">
        <f t="shared" si="3"/>
        <v>0</v>
      </c>
      <c r="AJ34" s="7"/>
      <c r="AK34" s="25">
        <f t="shared" si="4"/>
        <v>0</v>
      </c>
      <c r="AL34" s="26">
        <f t="shared" si="5"/>
        <v>0</v>
      </c>
      <c r="AM34" s="26">
        <f t="shared" si="6"/>
        <v>0</v>
      </c>
      <c r="AN34" s="8">
        <v>31</v>
      </c>
    </row>
    <row r="35" spans="1:40" ht="20.25" customHeight="1" thickBot="1">
      <c r="A35" s="31"/>
      <c r="B35" s="32"/>
      <c r="C35" s="33">
        <f t="shared" ref="C35:I35" si="7">SUM(C4:C34)</f>
        <v>0</v>
      </c>
      <c r="D35" s="34">
        <f t="shared" si="7"/>
        <v>0</v>
      </c>
      <c r="E35" s="34">
        <f t="shared" si="7"/>
        <v>0</v>
      </c>
      <c r="F35" s="34">
        <f t="shared" si="7"/>
        <v>0</v>
      </c>
      <c r="G35" s="34">
        <f t="shared" si="7"/>
        <v>0</v>
      </c>
      <c r="H35" s="34">
        <f t="shared" si="7"/>
        <v>0</v>
      </c>
      <c r="I35" s="35">
        <f t="shared" si="7"/>
        <v>0</v>
      </c>
      <c r="J35" s="36"/>
      <c r="K35" s="33">
        <f t="shared" ref="K35:Q35" si="8">SUM(K4:K34)</f>
        <v>0</v>
      </c>
      <c r="L35" s="34">
        <f t="shared" si="8"/>
        <v>0</v>
      </c>
      <c r="M35" s="34">
        <f t="shared" si="8"/>
        <v>0</v>
      </c>
      <c r="N35" s="34">
        <f t="shared" si="8"/>
        <v>0</v>
      </c>
      <c r="O35" s="34">
        <f t="shared" si="8"/>
        <v>0</v>
      </c>
      <c r="P35" s="34">
        <f t="shared" si="8"/>
        <v>0</v>
      </c>
      <c r="Q35" s="35">
        <f t="shared" si="8"/>
        <v>0</v>
      </c>
      <c r="R35" s="7"/>
      <c r="S35" s="33">
        <f t="shared" ref="S35:Z35" si="9">SUM(S4:S34)</f>
        <v>0</v>
      </c>
      <c r="T35" s="34">
        <f t="shared" si="9"/>
        <v>0</v>
      </c>
      <c r="U35" s="34">
        <f t="shared" si="9"/>
        <v>0</v>
      </c>
      <c r="V35" s="34">
        <f t="shared" si="9"/>
        <v>0</v>
      </c>
      <c r="W35" s="34">
        <f t="shared" si="9"/>
        <v>0</v>
      </c>
      <c r="X35" s="34">
        <f t="shared" si="9"/>
        <v>0</v>
      </c>
      <c r="Y35" s="34">
        <f t="shared" si="9"/>
        <v>0</v>
      </c>
      <c r="Z35" s="34">
        <f t="shared" si="9"/>
        <v>0</v>
      </c>
      <c r="AA35" s="37"/>
      <c r="AB35" s="33">
        <f t="shared" ref="AB35:AI35" si="10">SUM(AB4:AB34)</f>
        <v>0</v>
      </c>
      <c r="AC35" s="38">
        <f t="shared" si="10"/>
        <v>0</v>
      </c>
      <c r="AD35" s="38">
        <f t="shared" si="10"/>
        <v>0</v>
      </c>
      <c r="AE35" s="38">
        <f t="shared" si="10"/>
        <v>0</v>
      </c>
      <c r="AF35" s="38">
        <f t="shared" si="10"/>
        <v>0</v>
      </c>
      <c r="AG35" s="38">
        <f t="shared" si="10"/>
        <v>0</v>
      </c>
      <c r="AH35" s="38">
        <f t="shared" si="10"/>
        <v>0</v>
      </c>
      <c r="AI35" s="35">
        <f t="shared" si="10"/>
        <v>0</v>
      </c>
      <c r="AJ35" s="7"/>
      <c r="AK35" s="33">
        <f>SUM(AK4:AK34)</f>
        <v>0</v>
      </c>
      <c r="AL35" s="34">
        <f>SUM(AL4:AL34)</f>
        <v>0</v>
      </c>
      <c r="AM35" s="34">
        <f>SUM(AM4:AM34)</f>
        <v>0</v>
      </c>
      <c r="AN35" s="39"/>
    </row>
    <row r="36" spans="1:40" ht="19.5" customHeight="1" thickBot="1">
      <c r="R36" s="40"/>
      <c r="AA36" s="41"/>
      <c r="AJ36" s="40"/>
    </row>
    <row r="37" spans="1:40">
      <c r="Q37" s="79"/>
      <c r="R37" s="117" t="s">
        <v>64</v>
      </c>
      <c r="S37" s="113"/>
      <c r="T37" s="113"/>
      <c r="U37" s="113"/>
      <c r="V37" s="118"/>
      <c r="W37" s="52" t="s">
        <v>65</v>
      </c>
      <c r="X37" s="52"/>
      <c r="Y37" s="52"/>
      <c r="Z37" s="53"/>
      <c r="AA37" s="123" t="s">
        <v>66</v>
      </c>
      <c r="AB37" s="113"/>
      <c r="AC37" s="113"/>
      <c r="AD37" s="113"/>
      <c r="AE37" s="113"/>
      <c r="AF37" s="113"/>
      <c r="AG37" s="118"/>
    </row>
    <row r="38" spans="1:40">
      <c r="D38" s="122" t="s">
        <v>67</v>
      </c>
      <c r="E38" s="107"/>
      <c r="F38" s="107"/>
      <c r="R38" s="48" t="s">
        <v>68</v>
      </c>
      <c r="S38" s="78"/>
      <c r="T38" s="78"/>
      <c r="U38" s="78"/>
      <c r="V38" s="49"/>
      <c r="W38" s="77" t="s">
        <v>69</v>
      </c>
      <c r="Z38" s="49"/>
      <c r="AA38" s="108" t="s">
        <v>70</v>
      </c>
      <c r="AB38" s="107"/>
      <c r="AC38" s="77">
        <v>1</v>
      </c>
      <c r="AD38" s="43"/>
      <c r="AE38" s="69" t="s">
        <v>71</v>
      </c>
      <c r="AF38" s="77">
        <v>1</v>
      </c>
      <c r="AG38" s="44"/>
    </row>
    <row r="39" spans="1:40" ht="19.5" customHeight="1" thickBot="1">
      <c r="R39" s="60" t="s">
        <v>72</v>
      </c>
      <c r="S39" s="78"/>
      <c r="T39" s="78"/>
      <c r="U39" s="78"/>
      <c r="V39" s="49"/>
      <c r="W39" s="77" t="s">
        <v>73</v>
      </c>
      <c r="Z39" s="49"/>
      <c r="AA39" s="60"/>
      <c r="AC39" s="77">
        <v>2</v>
      </c>
      <c r="AD39" s="43"/>
      <c r="AF39" s="77">
        <v>2</v>
      </c>
      <c r="AG39" s="44"/>
    </row>
    <row r="40" spans="1:40" ht="21" customHeight="1">
      <c r="E40" s="124" t="s">
        <v>74</v>
      </c>
      <c r="F40" s="113"/>
      <c r="G40" s="130" t="s">
        <v>75</v>
      </c>
      <c r="H40" s="113"/>
      <c r="I40" s="47">
        <v>2</v>
      </c>
      <c r="R40" s="60" t="s">
        <v>76</v>
      </c>
      <c r="S40" s="78"/>
      <c r="T40" s="78"/>
      <c r="U40" s="78"/>
      <c r="V40" s="49"/>
      <c r="W40" s="77" t="s">
        <v>77</v>
      </c>
      <c r="Z40" s="49"/>
      <c r="AA40" s="60"/>
      <c r="AC40" s="77">
        <v>3</v>
      </c>
      <c r="AD40" s="43"/>
      <c r="AF40" s="77">
        <v>3</v>
      </c>
      <c r="AG40" s="44"/>
      <c r="AK40" s="114" t="s">
        <v>78</v>
      </c>
      <c r="AL40" s="115"/>
      <c r="AM40" s="116"/>
    </row>
    <row r="41" spans="1:40" ht="18" customHeight="1">
      <c r="E41" s="125"/>
      <c r="F41" s="107"/>
      <c r="G41" s="109" t="s">
        <v>79</v>
      </c>
      <c r="H41" s="107"/>
      <c r="I41" s="50">
        <v>3</v>
      </c>
      <c r="R41" s="60" t="s">
        <v>80</v>
      </c>
      <c r="S41" s="78"/>
      <c r="T41" s="78"/>
      <c r="U41" s="78"/>
      <c r="V41" s="49"/>
      <c r="W41" s="77" t="s">
        <v>81</v>
      </c>
      <c r="Z41" s="49"/>
      <c r="AA41" s="60"/>
      <c r="AC41" s="77">
        <v>4</v>
      </c>
      <c r="AD41" s="43"/>
      <c r="AF41" s="77">
        <v>4</v>
      </c>
      <c r="AG41" s="44"/>
      <c r="AK41" s="54" t="s">
        <v>82</v>
      </c>
      <c r="AL41" s="55"/>
      <c r="AM41" s="56">
        <f>AK35</f>
        <v>0</v>
      </c>
    </row>
    <row r="42" spans="1:40" ht="20.25" customHeight="1">
      <c r="E42" s="125"/>
      <c r="F42" s="107"/>
      <c r="G42" s="109" t="s">
        <v>83</v>
      </c>
      <c r="H42" s="107"/>
      <c r="I42" s="50"/>
      <c r="R42" s="60" t="s">
        <v>84</v>
      </c>
      <c r="S42" s="78"/>
      <c r="T42" s="78"/>
      <c r="U42" s="78"/>
      <c r="V42" s="49"/>
      <c r="W42" s="77" t="s">
        <v>85</v>
      </c>
      <c r="Z42" s="49"/>
      <c r="AA42" s="60"/>
      <c r="AC42" s="77">
        <v>5</v>
      </c>
      <c r="AD42" s="43"/>
      <c r="AF42" s="77">
        <v>5</v>
      </c>
      <c r="AG42" s="44"/>
      <c r="AK42" s="57" t="s">
        <v>86</v>
      </c>
      <c r="AL42" s="58"/>
      <c r="AM42" s="59">
        <f>AL35</f>
        <v>0</v>
      </c>
    </row>
    <row r="43" spans="1:40" ht="20.25" customHeight="1">
      <c r="E43" s="125"/>
      <c r="F43" s="107"/>
      <c r="G43" s="106" t="s">
        <v>87</v>
      </c>
      <c r="H43" s="107"/>
      <c r="I43" s="50">
        <v>4</v>
      </c>
      <c r="R43" s="60" t="s">
        <v>88</v>
      </c>
      <c r="S43" s="78"/>
      <c r="T43" s="78"/>
      <c r="U43" s="78"/>
      <c r="V43" s="49"/>
      <c r="W43" s="77" t="s">
        <v>89</v>
      </c>
      <c r="Z43" s="49"/>
      <c r="AA43" s="60"/>
      <c r="AC43" s="77">
        <v>6</v>
      </c>
      <c r="AD43" s="43"/>
      <c r="AF43" s="77">
        <v>6</v>
      </c>
      <c r="AG43" s="44"/>
      <c r="AK43" s="61" t="s">
        <v>90</v>
      </c>
      <c r="AL43" s="62"/>
      <c r="AM43" s="63">
        <f>AD69+AG69</f>
        <v>0</v>
      </c>
    </row>
    <row r="44" spans="1:40" ht="20.25" customHeight="1" thickBot="1">
      <c r="E44" s="125"/>
      <c r="F44" s="107"/>
      <c r="G44" s="106" t="s">
        <v>91</v>
      </c>
      <c r="H44" s="107"/>
      <c r="I44" s="50"/>
      <c r="R44" s="60" t="s">
        <v>92</v>
      </c>
      <c r="S44" s="78"/>
      <c r="T44" s="78"/>
      <c r="U44" s="78"/>
      <c r="V44" s="49"/>
      <c r="W44" s="77" t="s">
        <v>93</v>
      </c>
      <c r="Z44" s="49"/>
      <c r="AA44" s="60"/>
      <c r="AC44" s="77">
        <v>7</v>
      </c>
      <c r="AD44" s="43"/>
      <c r="AF44" s="77">
        <v>7</v>
      </c>
      <c r="AG44" s="44"/>
      <c r="AK44" s="126" t="s">
        <v>36</v>
      </c>
      <c r="AL44" s="127"/>
      <c r="AM44" s="64">
        <f>AM41+AM42+AM43</f>
        <v>0</v>
      </c>
    </row>
    <row r="45" spans="1:40">
      <c r="E45" s="60"/>
      <c r="G45" s="77" t="s">
        <v>94</v>
      </c>
      <c r="I45" s="50"/>
      <c r="R45" s="60" t="s">
        <v>95</v>
      </c>
      <c r="S45" s="78"/>
      <c r="T45" s="78"/>
      <c r="U45" s="78"/>
      <c r="V45" s="49"/>
      <c r="W45" s="77" t="s">
        <v>96</v>
      </c>
      <c r="Z45" s="49"/>
      <c r="AA45" s="60"/>
      <c r="AC45" s="77">
        <v>8</v>
      </c>
      <c r="AD45" s="43"/>
      <c r="AF45" s="77">
        <v>8</v>
      </c>
      <c r="AG45" s="44"/>
    </row>
    <row r="46" spans="1:40">
      <c r="E46" s="60"/>
      <c r="G46" s="77" t="s">
        <v>97</v>
      </c>
      <c r="I46" s="50"/>
      <c r="R46" s="48" t="s">
        <v>98</v>
      </c>
      <c r="S46" s="78"/>
      <c r="T46" s="78"/>
      <c r="U46" s="78"/>
      <c r="V46" s="49"/>
      <c r="W46" s="77" t="s">
        <v>99</v>
      </c>
      <c r="Z46" s="49"/>
      <c r="AA46" s="60"/>
      <c r="AC46" s="77">
        <v>9</v>
      </c>
      <c r="AD46" s="43"/>
      <c r="AF46" s="77">
        <v>9</v>
      </c>
      <c r="AG46" s="44"/>
    </row>
    <row r="47" spans="1:40" ht="18" customHeight="1">
      <c r="E47" s="60"/>
      <c r="G47" s="77" t="s">
        <v>100</v>
      </c>
      <c r="I47" s="50"/>
      <c r="R47" s="60" t="s">
        <v>101</v>
      </c>
      <c r="S47" s="78"/>
      <c r="T47" s="78"/>
      <c r="U47" s="78"/>
      <c r="V47" s="49"/>
      <c r="W47" s="77" t="s">
        <v>102</v>
      </c>
      <c r="Z47" s="49"/>
      <c r="AA47" s="60"/>
      <c r="AC47" s="77">
        <v>10</v>
      </c>
      <c r="AD47" s="43"/>
      <c r="AF47" s="77">
        <v>10</v>
      </c>
      <c r="AG47" s="44"/>
    </row>
    <row r="48" spans="1:40">
      <c r="E48" s="60"/>
      <c r="G48" s="77" t="s">
        <v>103</v>
      </c>
      <c r="I48" s="50"/>
      <c r="R48" s="60" t="s">
        <v>104</v>
      </c>
      <c r="S48" s="78"/>
      <c r="T48" s="78"/>
      <c r="U48" s="78"/>
      <c r="V48" s="49"/>
      <c r="W48" s="77" t="s">
        <v>105</v>
      </c>
      <c r="Z48" s="49"/>
      <c r="AA48" s="60"/>
      <c r="AC48" s="77">
        <v>11</v>
      </c>
      <c r="AD48" s="43"/>
      <c r="AF48" s="77">
        <v>11</v>
      </c>
      <c r="AG48" s="44"/>
    </row>
    <row r="49" spans="5:33">
      <c r="E49" s="60"/>
      <c r="G49" s="77" t="s">
        <v>106</v>
      </c>
      <c r="I49" s="50"/>
      <c r="R49" s="60" t="s">
        <v>107</v>
      </c>
      <c r="S49" s="78"/>
      <c r="T49" s="78"/>
      <c r="U49" s="78"/>
      <c r="V49" s="49"/>
      <c r="W49" s="77" t="s">
        <v>108</v>
      </c>
      <c r="Z49" s="49"/>
      <c r="AA49" s="60"/>
      <c r="AC49" s="77">
        <v>12</v>
      </c>
      <c r="AD49" s="43"/>
      <c r="AF49" s="77">
        <v>12</v>
      </c>
      <c r="AG49" s="44"/>
    </row>
    <row r="50" spans="5:33">
      <c r="E50" s="60"/>
      <c r="G50" s="77" t="s">
        <v>109</v>
      </c>
      <c r="I50" s="50"/>
      <c r="R50" s="60" t="s">
        <v>110</v>
      </c>
      <c r="S50" s="78"/>
      <c r="T50" s="78"/>
      <c r="U50" s="78"/>
      <c r="V50" s="49"/>
      <c r="W50" s="77" t="s">
        <v>111</v>
      </c>
      <c r="Z50" s="49"/>
      <c r="AA50" s="60"/>
      <c r="AC50" s="77">
        <v>13</v>
      </c>
      <c r="AD50" s="43"/>
      <c r="AF50" s="77">
        <v>13</v>
      </c>
      <c r="AG50" s="44"/>
    </row>
    <row r="51" spans="5:33">
      <c r="G51" s="77" t="s">
        <v>112</v>
      </c>
      <c r="R51" s="60" t="s">
        <v>113</v>
      </c>
      <c r="S51" s="78"/>
      <c r="T51" s="78"/>
      <c r="U51" s="78"/>
      <c r="V51" s="49"/>
      <c r="W51" s="77" t="s">
        <v>114</v>
      </c>
      <c r="Z51" s="49"/>
      <c r="AA51" s="60"/>
      <c r="AC51" s="77">
        <v>14</v>
      </c>
      <c r="AD51" s="43"/>
      <c r="AF51" s="77">
        <v>14</v>
      </c>
      <c r="AG51" s="44"/>
    </row>
    <row r="52" spans="5:33">
      <c r="G52" s="77" t="s">
        <v>115</v>
      </c>
      <c r="R52" s="60" t="s">
        <v>116</v>
      </c>
      <c r="S52" s="78"/>
      <c r="T52" s="78"/>
      <c r="U52" s="78"/>
      <c r="V52" s="49"/>
      <c r="W52" s="77" t="s">
        <v>117</v>
      </c>
      <c r="Z52" s="49"/>
      <c r="AA52" s="60"/>
      <c r="AC52" s="77">
        <v>15</v>
      </c>
      <c r="AD52" s="43"/>
      <c r="AF52" s="77">
        <v>15</v>
      </c>
      <c r="AG52" s="44"/>
    </row>
    <row r="53" spans="5:33">
      <c r="G53" s="77" t="s">
        <v>118</v>
      </c>
      <c r="R53" s="48" t="s">
        <v>119</v>
      </c>
      <c r="S53" s="78"/>
      <c r="T53" s="78"/>
      <c r="U53" s="78"/>
      <c r="V53" s="49"/>
      <c r="W53" s="77" t="s">
        <v>120</v>
      </c>
      <c r="Z53" s="49"/>
      <c r="AA53" s="60"/>
      <c r="AC53" s="77">
        <v>16</v>
      </c>
      <c r="AD53" s="43"/>
      <c r="AF53" s="77">
        <v>16</v>
      </c>
      <c r="AG53" s="44"/>
    </row>
    <row r="54" spans="5:33">
      <c r="R54" s="60" t="s">
        <v>121</v>
      </c>
      <c r="S54" s="78"/>
      <c r="T54" s="78"/>
      <c r="U54" s="78"/>
      <c r="V54" s="49"/>
      <c r="W54" s="77" t="s">
        <v>122</v>
      </c>
      <c r="Z54" s="49"/>
      <c r="AA54" s="60"/>
      <c r="AC54" s="77">
        <v>17</v>
      </c>
      <c r="AD54" s="43"/>
      <c r="AF54" s="77">
        <v>17</v>
      </c>
      <c r="AG54" s="44"/>
    </row>
    <row r="55" spans="5:33">
      <c r="R55" s="48" t="s">
        <v>123</v>
      </c>
      <c r="S55" s="78"/>
      <c r="T55" s="78"/>
      <c r="U55" s="78"/>
      <c r="V55" s="49"/>
      <c r="W55" s="77" t="s">
        <v>124</v>
      </c>
      <c r="Z55" s="49"/>
      <c r="AA55" s="60"/>
      <c r="AC55" s="77">
        <v>18</v>
      </c>
      <c r="AD55" s="43"/>
      <c r="AF55" s="77">
        <v>18</v>
      </c>
      <c r="AG55" s="44"/>
    </row>
    <row r="56" spans="5:33">
      <c r="R56" s="60" t="s">
        <v>125</v>
      </c>
      <c r="S56" s="78"/>
      <c r="T56" s="78"/>
      <c r="U56" s="78"/>
      <c r="V56" s="49"/>
      <c r="W56" s="77" t="s">
        <v>126</v>
      </c>
      <c r="Z56" s="49"/>
      <c r="AA56" s="60"/>
      <c r="AC56" s="77">
        <v>19</v>
      </c>
      <c r="AD56" s="43"/>
      <c r="AF56" s="77">
        <v>19</v>
      </c>
      <c r="AG56" s="44"/>
    </row>
    <row r="57" spans="5:33">
      <c r="R57" s="60" t="s">
        <v>127</v>
      </c>
      <c r="S57" s="78"/>
      <c r="T57" s="78"/>
      <c r="U57" s="78"/>
      <c r="V57" s="49"/>
      <c r="W57" s="77" t="s">
        <v>128</v>
      </c>
      <c r="Y57" s="65"/>
      <c r="Z57" s="49"/>
      <c r="AA57" s="60"/>
      <c r="AC57" s="77">
        <v>20</v>
      </c>
      <c r="AD57" s="43"/>
      <c r="AF57" s="77">
        <v>20</v>
      </c>
      <c r="AG57" s="44"/>
    </row>
    <row r="58" spans="5:33">
      <c r="R58" s="48" t="s">
        <v>129</v>
      </c>
      <c r="S58" s="78"/>
      <c r="T58" s="78"/>
      <c r="U58" s="78"/>
      <c r="V58" s="49"/>
      <c r="W58" s="77" t="s">
        <v>130</v>
      </c>
      <c r="Z58" s="49"/>
      <c r="AA58" s="60"/>
      <c r="AC58" s="77">
        <v>21</v>
      </c>
      <c r="AD58" s="43"/>
      <c r="AF58" s="77">
        <v>21</v>
      </c>
      <c r="AG58" s="44"/>
    </row>
    <row r="59" spans="5:33">
      <c r="R59" s="60" t="s">
        <v>131</v>
      </c>
      <c r="S59" s="78"/>
      <c r="T59" s="78"/>
      <c r="U59" s="78"/>
      <c r="V59" s="49"/>
      <c r="W59" s="77" t="s">
        <v>132</v>
      </c>
      <c r="Y59" s="65"/>
      <c r="Z59" s="49"/>
      <c r="AA59" s="60"/>
      <c r="AC59" s="77">
        <v>22</v>
      </c>
      <c r="AD59" s="43"/>
      <c r="AF59" s="77">
        <v>22</v>
      </c>
      <c r="AG59" s="44"/>
    </row>
    <row r="60" spans="5:33">
      <c r="R60" s="48" t="s">
        <v>133</v>
      </c>
      <c r="S60" s="78"/>
      <c r="T60" s="78"/>
      <c r="U60" s="78"/>
      <c r="V60" s="49"/>
      <c r="W60" s="77" t="s">
        <v>134</v>
      </c>
      <c r="Z60" s="49"/>
      <c r="AA60" s="60"/>
      <c r="AC60" s="77">
        <v>23</v>
      </c>
      <c r="AD60" s="43"/>
      <c r="AF60" s="77">
        <v>23</v>
      </c>
      <c r="AG60" s="44"/>
    </row>
    <row r="61" spans="5:33" ht="19.5" customHeight="1" thickBot="1">
      <c r="R61" s="60" t="s">
        <v>135</v>
      </c>
      <c r="S61" s="78"/>
      <c r="T61" s="78"/>
      <c r="U61" s="78"/>
      <c r="V61" s="49"/>
      <c r="W61" s="42" t="s">
        <v>136</v>
      </c>
      <c r="X61" s="42"/>
      <c r="Y61" s="42"/>
      <c r="Z61" s="82"/>
      <c r="AA61" s="60"/>
      <c r="AC61" s="77">
        <v>24</v>
      </c>
      <c r="AD61" s="43"/>
      <c r="AF61" s="77">
        <v>24</v>
      </c>
      <c r="AG61" s="44"/>
    </row>
    <row r="62" spans="5:33">
      <c r="R62" s="60" t="s">
        <v>137</v>
      </c>
      <c r="S62" s="78"/>
      <c r="T62" s="78"/>
      <c r="U62" s="78"/>
      <c r="V62" s="49"/>
      <c r="AA62" s="60"/>
      <c r="AC62" s="77">
        <v>25</v>
      </c>
      <c r="AD62" s="43"/>
      <c r="AF62" s="77">
        <v>25</v>
      </c>
      <c r="AG62" s="44"/>
    </row>
    <row r="63" spans="5:33">
      <c r="R63" s="48" t="s">
        <v>138</v>
      </c>
      <c r="S63" s="78"/>
      <c r="T63" s="78"/>
      <c r="U63" s="78"/>
      <c r="V63" s="49"/>
      <c r="AA63" s="60"/>
      <c r="AC63" s="77">
        <v>26</v>
      </c>
      <c r="AD63" s="43"/>
      <c r="AF63" s="77">
        <v>26</v>
      </c>
      <c r="AG63" s="44"/>
    </row>
    <row r="64" spans="5:33">
      <c r="R64" s="60" t="s">
        <v>139</v>
      </c>
      <c r="S64" s="78"/>
      <c r="T64" s="78"/>
      <c r="U64" s="78"/>
      <c r="V64" s="49"/>
      <c r="AA64" s="60"/>
      <c r="AC64" s="77">
        <v>27</v>
      </c>
      <c r="AD64" s="43"/>
      <c r="AF64" s="77">
        <v>27</v>
      </c>
      <c r="AG64" s="44"/>
    </row>
    <row r="65" spans="18:33" ht="18.600000000000001" customHeight="1">
      <c r="R65" s="48" t="s">
        <v>140</v>
      </c>
      <c r="S65" s="78"/>
      <c r="T65" s="78"/>
      <c r="U65" s="78"/>
      <c r="V65" s="49"/>
      <c r="AA65" s="60"/>
      <c r="AC65" s="77">
        <v>28</v>
      </c>
      <c r="AD65" s="43"/>
      <c r="AF65" s="77">
        <v>28</v>
      </c>
      <c r="AG65" s="44"/>
    </row>
    <row r="66" spans="18:33">
      <c r="R66" s="60" t="s">
        <v>141</v>
      </c>
      <c r="S66" s="78"/>
      <c r="T66" s="78"/>
      <c r="U66" s="78"/>
      <c r="V66" s="49"/>
      <c r="AA66" s="60"/>
      <c r="AC66" s="77">
        <v>29</v>
      </c>
      <c r="AD66" s="43"/>
      <c r="AF66" s="77">
        <v>29</v>
      </c>
      <c r="AG66" s="44"/>
    </row>
    <row r="67" spans="18:33">
      <c r="R67" s="60" t="s">
        <v>142</v>
      </c>
      <c r="S67" s="78"/>
      <c r="T67" s="78"/>
      <c r="U67" s="78"/>
      <c r="V67" s="49"/>
      <c r="AA67" s="60"/>
      <c r="AC67" s="77">
        <v>30</v>
      </c>
      <c r="AD67" s="43"/>
      <c r="AF67" s="77">
        <v>30</v>
      </c>
      <c r="AG67" s="44"/>
    </row>
    <row r="68" spans="18:33" ht="20.45" customHeight="1">
      <c r="R68" s="60" t="s">
        <v>143</v>
      </c>
      <c r="S68" s="78"/>
      <c r="T68" s="78"/>
      <c r="U68" s="78"/>
      <c r="V68" s="49"/>
      <c r="AA68" s="60"/>
      <c r="AC68" s="77">
        <v>31</v>
      </c>
      <c r="AD68" s="43"/>
      <c r="AF68" s="77">
        <v>31</v>
      </c>
      <c r="AG68" s="44"/>
    </row>
    <row r="69" spans="18:33" ht="19.5" customHeight="1" thickBot="1">
      <c r="R69" s="60" t="s">
        <v>144</v>
      </c>
      <c r="V69" s="49"/>
      <c r="AA69" s="45"/>
      <c r="AB69" s="42"/>
      <c r="AC69" s="42" t="s">
        <v>47</v>
      </c>
      <c r="AD69" s="66">
        <f>SUM(AD38:AD67)</f>
        <v>0</v>
      </c>
      <c r="AE69" s="42"/>
      <c r="AF69" s="42" t="s">
        <v>47</v>
      </c>
      <c r="AG69" s="67">
        <f>SUM(AG38:AG67)</f>
        <v>0</v>
      </c>
    </row>
    <row r="70" spans="18:33">
      <c r="R70" s="60" t="s">
        <v>145</v>
      </c>
      <c r="V70" s="49"/>
    </row>
    <row r="71" spans="18:33">
      <c r="R71" s="48" t="s">
        <v>146</v>
      </c>
      <c r="V71" s="49"/>
    </row>
    <row r="72" spans="18:33">
      <c r="R72" s="60" t="s">
        <v>147</v>
      </c>
      <c r="V72" s="49"/>
    </row>
    <row r="73" spans="18:33">
      <c r="R73" s="60" t="s">
        <v>148</v>
      </c>
      <c r="V73" s="49"/>
    </row>
    <row r="74" spans="18:33" ht="18" customHeight="1">
      <c r="R74" s="60" t="s">
        <v>149</v>
      </c>
      <c r="V74" s="49"/>
    </row>
    <row r="75" spans="18:33">
      <c r="R75" s="48" t="s">
        <v>150</v>
      </c>
      <c r="V75" s="49"/>
    </row>
    <row r="76" spans="18:33">
      <c r="R76" s="60" t="s">
        <v>151</v>
      </c>
      <c r="V76" s="49"/>
    </row>
    <row r="77" spans="18:33">
      <c r="R77" s="60" t="s">
        <v>152</v>
      </c>
      <c r="V77" s="49"/>
    </row>
    <row r="78" spans="18:33">
      <c r="R78" s="60" t="s">
        <v>153</v>
      </c>
      <c r="V78" s="49"/>
    </row>
    <row r="79" spans="18:33">
      <c r="R79" s="60" t="s">
        <v>154</v>
      </c>
      <c r="V79" s="49"/>
    </row>
    <row r="80" spans="18:33">
      <c r="R80" s="60" t="s">
        <v>155</v>
      </c>
      <c r="V80" s="49"/>
    </row>
    <row r="81" spans="18:22">
      <c r="R81" s="60" t="s">
        <v>156</v>
      </c>
      <c r="V81" s="49"/>
    </row>
    <row r="82" spans="18:22">
      <c r="R82" s="60" t="s">
        <v>157</v>
      </c>
      <c r="V82" s="49"/>
    </row>
    <row r="83" spans="18:22">
      <c r="R83" s="60" t="s">
        <v>158</v>
      </c>
      <c r="V83" s="49"/>
    </row>
    <row r="84" spans="18:22">
      <c r="R84" s="60" t="s">
        <v>159</v>
      </c>
      <c r="V84" s="49"/>
    </row>
    <row r="85" spans="18:22">
      <c r="R85" s="60" t="s">
        <v>160</v>
      </c>
      <c r="V85" s="49"/>
    </row>
    <row r="86" spans="18:22">
      <c r="R86" s="60" t="s">
        <v>161</v>
      </c>
      <c r="V86" s="49"/>
    </row>
    <row r="87" spans="18:22">
      <c r="R87" s="60" t="s">
        <v>162</v>
      </c>
      <c r="V87" s="49"/>
    </row>
    <row r="88" spans="18:22">
      <c r="R88" s="60" t="s">
        <v>163</v>
      </c>
      <c r="V88" s="49"/>
    </row>
    <row r="89" spans="18:22">
      <c r="R89" s="60" t="s">
        <v>164</v>
      </c>
      <c r="V89" s="49"/>
    </row>
    <row r="90" spans="18:22">
      <c r="R90" s="60" t="s">
        <v>165</v>
      </c>
      <c r="V90" s="49"/>
    </row>
    <row r="91" spans="18:22">
      <c r="R91" s="48" t="s">
        <v>166</v>
      </c>
      <c r="V91" s="49"/>
    </row>
    <row r="92" spans="18:22">
      <c r="R92" s="60" t="s">
        <v>167</v>
      </c>
      <c r="V92" s="49"/>
    </row>
    <row r="93" spans="18:22">
      <c r="R93" s="48" t="s">
        <v>168</v>
      </c>
      <c r="V93" s="49"/>
    </row>
    <row r="94" spans="18:22">
      <c r="R94" s="60" t="s">
        <v>169</v>
      </c>
      <c r="V94" s="49"/>
    </row>
    <row r="95" spans="18:22">
      <c r="R95" s="60" t="s">
        <v>170</v>
      </c>
      <c r="V95" s="49"/>
    </row>
    <row r="96" spans="18:22">
      <c r="R96" s="60" t="s">
        <v>171</v>
      </c>
      <c r="S96" s="77" t="s">
        <v>172</v>
      </c>
      <c r="V96" s="49"/>
    </row>
    <row r="97" spans="18:22">
      <c r="R97" s="60" t="s">
        <v>173</v>
      </c>
      <c r="V97" s="49"/>
    </row>
    <row r="98" spans="18:22">
      <c r="R98" s="48" t="s">
        <v>174</v>
      </c>
      <c r="V98" s="49"/>
    </row>
    <row r="99" spans="18:22">
      <c r="R99" s="60" t="s">
        <v>175</v>
      </c>
      <c r="V99" s="49"/>
    </row>
    <row r="100" spans="18:22">
      <c r="R100" s="60" t="s">
        <v>175</v>
      </c>
      <c r="V100" s="49"/>
    </row>
    <row r="101" spans="18:22">
      <c r="R101" s="60" t="s">
        <v>176</v>
      </c>
      <c r="V101" s="49"/>
    </row>
    <row r="102" spans="18:22">
      <c r="R102" s="48" t="s">
        <v>177</v>
      </c>
      <c r="V102" s="49"/>
    </row>
    <row r="103" spans="18:22">
      <c r="R103" s="60" t="s">
        <v>177</v>
      </c>
      <c r="V103" s="49"/>
    </row>
    <row r="104" spans="18:22">
      <c r="R104" s="48" t="s">
        <v>178</v>
      </c>
      <c r="V104" s="49"/>
    </row>
    <row r="105" spans="18:22">
      <c r="R105" s="60" t="s">
        <v>179</v>
      </c>
      <c r="V105" s="49"/>
    </row>
    <row r="106" spans="18:22">
      <c r="R106" s="60" t="s">
        <v>180</v>
      </c>
      <c r="V106" s="49"/>
    </row>
    <row r="107" spans="18:22">
      <c r="R107" s="60" t="s">
        <v>181</v>
      </c>
      <c r="V107" s="49"/>
    </row>
    <row r="108" spans="18:22">
      <c r="R108" s="60" t="s">
        <v>182</v>
      </c>
      <c r="V108" s="49"/>
    </row>
    <row r="109" spans="18:22">
      <c r="R109" s="60" t="s">
        <v>183</v>
      </c>
      <c r="V109" s="49"/>
    </row>
    <row r="110" spans="18:22">
      <c r="R110" s="60" t="s">
        <v>184</v>
      </c>
      <c r="V110" s="49"/>
    </row>
    <row r="111" spans="18:22">
      <c r="R111" s="48" t="s">
        <v>185</v>
      </c>
      <c r="V111" s="49"/>
    </row>
    <row r="112" spans="18:22">
      <c r="R112" s="48" t="s">
        <v>186</v>
      </c>
      <c r="V112" s="49"/>
    </row>
    <row r="113" spans="18:22">
      <c r="R113" s="48" t="s">
        <v>187</v>
      </c>
      <c r="V113" s="49"/>
    </row>
    <row r="114" spans="18:22">
      <c r="R114" s="60" t="s">
        <v>188</v>
      </c>
      <c r="V114" s="49"/>
    </row>
    <row r="115" spans="18:22">
      <c r="R115" s="60" t="s">
        <v>189</v>
      </c>
      <c r="V115" s="49"/>
    </row>
    <row r="116" spans="18:22">
      <c r="R116" s="60" t="s">
        <v>190</v>
      </c>
      <c r="V116" s="49"/>
    </row>
    <row r="117" spans="18:22">
      <c r="R117" s="60" t="s">
        <v>191</v>
      </c>
      <c r="V117" s="49"/>
    </row>
    <row r="118" spans="18:22">
      <c r="R118" s="60" t="s">
        <v>192</v>
      </c>
      <c r="V118" s="49"/>
    </row>
    <row r="119" spans="18:22">
      <c r="R119" s="60" t="s">
        <v>193</v>
      </c>
      <c r="V119" s="49"/>
    </row>
    <row r="120" spans="18:22">
      <c r="R120" s="60" t="s">
        <v>194</v>
      </c>
      <c r="V120" s="49"/>
    </row>
    <row r="121" spans="18:22">
      <c r="R121" s="60" t="s">
        <v>195</v>
      </c>
      <c r="V121" s="49"/>
    </row>
    <row r="122" spans="18:22">
      <c r="R122" s="60" t="s">
        <v>196</v>
      </c>
      <c r="S122" s="78"/>
      <c r="T122" s="78"/>
      <c r="V122" s="49"/>
    </row>
    <row r="123" spans="18:22">
      <c r="R123" s="60" t="s">
        <v>197</v>
      </c>
      <c r="S123" s="78"/>
      <c r="T123" s="78"/>
      <c r="V123" s="49"/>
    </row>
    <row r="124" spans="18:22">
      <c r="R124" s="60" t="s">
        <v>198</v>
      </c>
      <c r="S124" s="78"/>
      <c r="T124" s="78"/>
      <c r="V124" s="49"/>
    </row>
    <row r="125" spans="18:22">
      <c r="R125" s="60" t="s">
        <v>199</v>
      </c>
      <c r="S125" s="78"/>
      <c r="T125" s="78"/>
      <c r="V125" s="49"/>
    </row>
    <row r="126" spans="18:22">
      <c r="R126" s="48" t="s">
        <v>200</v>
      </c>
      <c r="S126" s="78"/>
      <c r="T126" s="78"/>
      <c r="V126" s="49"/>
    </row>
    <row r="127" spans="18:22">
      <c r="R127" s="48" t="s">
        <v>201</v>
      </c>
      <c r="S127" s="78"/>
      <c r="T127" s="78"/>
      <c r="V127" s="49"/>
    </row>
    <row r="128" spans="18:22">
      <c r="R128" s="48" t="s">
        <v>202</v>
      </c>
      <c r="S128" s="78"/>
      <c r="T128" s="78"/>
      <c r="V128" s="49"/>
    </row>
    <row r="129" spans="18:22">
      <c r="R129" s="60" t="s">
        <v>203</v>
      </c>
      <c r="S129" s="78"/>
      <c r="T129" s="78"/>
      <c r="V129" s="49"/>
    </row>
    <row r="130" spans="18:22">
      <c r="R130" s="60" t="s">
        <v>204</v>
      </c>
      <c r="S130" s="78"/>
      <c r="T130" s="78"/>
      <c r="V130" s="49"/>
    </row>
    <row r="131" spans="18:22">
      <c r="R131" s="60" t="s">
        <v>205</v>
      </c>
      <c r="S131" s="78"/>
      <c r="T131" s="78"/>
      <c r="V131" s="49"/>
    </row>
    <row r="132" spans="18:22">
      <c r="R132" s="60" t="s">
        <v>206</v>
      </c>
      <c r="S132" s="78"/>
      <c r="T132" s="78"/>
      <c r="V132" s="49"/>
    </row>
    <row r="133" spans="18:22">
      <c r="R133" s="60" t="s">
        <v>207</v>
      </c>
      <c r="S133" s="78"/>
      <c r="T133" s="78"/>
      <c r="V133" s="49"/>
    </row>
    <row r="134" spans="18:22">
      <c r="R134" s="60" t="s">
        <v>208</v>
      </c>
      <c r="S134" s="78"/>
      <c r="T134" s="78"/>
      <c r="V134" s="49"/>
    </row>
    <row r="135" spans="18:22">
      <c r="R135" s="60" t="s">
        <v>209</v>
      </c>
      <c r="S135" s="78"/>
      <c r="T135" s="78"/>
      <c r="V135" s="49"/>
    </row>
    <row r="136" spans="18:22">
      <c r="R136" s="60" t="s">
        <v>210</v>
      </c>
      <c r="S136" s="78"/>
      <c r="T136" s="78"/>
      <c r="V136" s="49"/>
    </row>
    <row r="137" spans="18:22">
      <c r="R137" s="48" t="s">
        <v>211</v>
      </c>
      <c r="S137" s="78"/>
      <c r="T137" s="78"/>
      <c r="V137" s="49"/>
    </row>
    <row r="138" spans="18:22">
      <c r="R138" s="60" t="s">
        <v>212</v>
      </c>
      <c r="S138" s="78"/>
      <c r="T138" s="78"/>
      <c r="V138" s="49"/>
    </row>
    <row r="139" spans="18:22">
      <c r="R139" s="60" t="s">
        <v>213</v>
      </c>
      <c r="S139" s="78"/>
      <c r="T139" s="78"/>
      <c r="V139" s="49"/>
    </row>
    <row r="140" spans="18:22">
      <c r="R140" s="60" t="s">
        <v>214</v>
      </c>
      <c r="S140" s="78"/>
      <c r="T140" s="78"/>
      <c r="V140" s="49"/>
    </row>
    <row r="141" spans="18:22">
      <c r="R141" s="60" t="s">
        <v>215</v>
      </c>
      <c r="S141" s="78"/>
      <c r="T141" s="78"/>
      <c r="V141" s="49"/>
    </row>
    <row r="142" spans="18:22">
      <c r="R142" s="60" t="s">
        <v>216</v>
      </c>
      <c r="S142" s="78"/>
      <c r="T142" s="78"/>
      <c r="V142" s="49"/>
    </row>
    <row r="143" spans="18:22">
      <c r="R143" s="60" t="s">
        <v>217</v>
      </c>
      <c r="S143" s="78"/>
      <c r="T143" s="78"/>
      <c r="V143" s="49"/>
    </row>
    <row r="144" spans="18:22">
      <c r="R144" s="60" t="s">
        <v>218</v>
      </c>
      <c r="S144" s="78"/>
      <c r="T144" s="78"/>
      <c r="V144" s="49"/>
    </row>
    <row r="145" spans="18:22">
      <c r="R145" s="48" t="s">
        <v>219</v>
      </c>
      <c r="S145" s="78"/>
      <c r="T145" s="78"/>
      <c r="V145" s="49"/>
    </row>
    <row r="146" spans="18:22">
      <c r="R146" s="60" t="s">
        <v>220</v>
      </c>
      <c r="S146" s="78"/>
      <c r="T146" s="78"/>
      <c r="V146" s="49"/>
    </row>
    <row r="147" spans="18:22">
      <c r="R147" s="48" t="s">
        <v>221</v>
      </c>
      <c r="S147" s="78"/>
      <c r="T147" s="78"/>
      <c r="V147" s="49"/>
    </row>
    <row r="148" spans="18:22">
      <c r="R148" s="60" t="s">
        <v>222</v>
      </c>
      <c r="S148" s="78"/>
      <c r="T148" s="78"/>
      <c r="V148" s="49"/>
    </row>
    <row r="149" spans="18:22">
      <c r="R149" s="60" t="s">
        <v>223</v>
      </c>
      <c r="S149" s="104"/>
      <c r="T149" s="78"/>
      <c r="V149" s="49"/>
    </row>
    <row r="150" spans="18:22">
      <c r="R150" s="60" t="s">
        <v>224</v>
      </c>
      <c r="S150" s="78"/>
      <c r="T150" s="78"/>
      <c r="V150" s="49"/>
    </row>
    <row r="151" spans="18:22">
      <c r="R151" s="60" t="s">
        <v>225</v>
      </c>
      <c r="S151" s="78"/>
      <c r="T151" s="78"/>
      <c r="V151" s="49"/>
    </row>
    <row r="152" spans="18:22">
      <c r="R152" s="60" t="s">
        <v>226</v>
      </c>
      <c r="S152" s="78"/>
      <c r="T152" s="78"/>
      <c r="V152" s="49"/>
    </row>
    <row r="153" spans="18:22">
      <c r="R153" s="48" t="s">
        <v>227</v>
      </c>
      <c r="S153" s="104"/>
      <c r="T153" s="104"/>
      <c r="V153" s="49"/>
    </row>
    <row r="154" spans="18:22">
      <c r="R154" s="60" t="s">
        <v>228</v>
      </c>
      <c r="S154" s="104"/>
      <c r="T154" s="104"/>
      <c r="V154" s="49"/>
    </row>
    <row r="155" spans="18:22">
      <c r="R155" s="60" t="s">
        <v>229</v>
      </c>
      <c r="S155" s="104"/>
      <c r="T155" s="104"/>
      <c r="V155" s="49"/>
    </row>
    <row r="156" spans="18:22">
      <c r="R156" s="48" t="s">
        <v>230</v>
      </c>
      <c r="S156" s="104"/>
      <c r="T156" s="104"/>
      <c r="V156" s="49"/>
    </row>
    <row r="157" spans="18:22">
      <c r="R157" s="60" t="s">
        <v>231</v>
      </c>
      <c r="S157" s="104"/>
      <c r="T157" s="104"/>
      <c r="V157" s="49"/>
    </row>
    <row r="158" spans="18:22">
      <c r="R158" s="48" t="s">
        <v>232</v>
      </c>
      <c r="V158" s="49"/>
    </row>
    <row r="159" spans="18:22">
      <c r="R159" s="60" t="s">
        <v>233</v>
      </c>
      <c r="V159" s="49"/>
    </row>
    <row r="160" spans="18:22">
      <c r="R160" s="60" t="s">
        <v>234</v>
      </c>
      <c r="V160" s="49"/>
    </row>
    <row r="161" spans="18:22">
      <c r="R161" s="60" t="s">
        <v>235</v>
      </c>
      <c r="V161" s="49"/>
    </row>
    <row r="162" spans="18:22">
      <c r="R162" s="48" t="s">
        <v>236</v>
      </c>
      <c r="V162" s="49"/>
    </row>
    <row r="163" spans="18:22">
      <c r="R163" s="60" t="s">
        <v>237</v>
      </c>
      <c r="V163" s="49"/>
    </row>
    <row r="164" spans="18:22">
      <c r="R164" s="60" t="s">
        <v>238</v>
      </c>
      <c r="V164" s="49"/>
    </row>
    <row r="165" spans="18:22">
      <c r="R165" s="48" t="s">
        <v>239</v>
      </c>
      <c r="V165" s="49"/>
    </row>
    <row r="166" spans="18:22">
      <c r="R166" s="60" t="s">
        <v>240</v>
      </c>
      <c r="V166" s="49"/>
    </row>
    <row r="167" spans="18:22">
      <c r="R167" s="60" t="s">
        <v>241</v>
      </c>
      <c r="V167" s="49"/>
    </row>
    <row r="168" spans="18:22">
      <c r="R168" s="60" t="s">
        <v>242</v>
      </c>
      <c r="V168" s="49"/>
    </row>
    <row r="169" spans="18:22">
      <c r="R169" s="48" t="s">
        <v>243</v>
      </c>
      <c r="V169" s="49"/>
    </row>
    <row r="170" spans="18:22">
      <c r="R170" s="48" t="s">
        <v>244</v>
      </c>
      <c r="V170" s="49"/>
    </row>
    <row r="171" spans="18:22">
      <c r="R171" s="60" t="s">
        <v>245</v>
      </c>
      <c r="V171" s="49"/>
    </row>
    <row r="172" spans="18:22">
      <c r="R172" s="60" t="s">
        <v>246</v>
      </c>
      <c r="V172" s="49"/>
    </row>
    <row r="173" spans="18:22">
      <c r="R173" s="60" t="s">
        <v>247</v>
      </c>
      <c r="V173" s="49"/>
    </row>
    <row r="174" spans="18:22">
      <c r="R174" s="60" t="s">
        <v>248</v>
      </c>
      <c r="V174" s="49"/>
    </row>
    <row r="175" spans="18:22">
      <c r="R175" s="60" t="s">
        <v>249</v>
      </c>
      <c r="V175" s="49"/>
    </row>
    <row r="176" spans="18:22">
      <c r="R176" s="60" t="s">
        <v>250</v>
      </c>
      <c r="V176" s="49"/>
    </row>
    <row r="177" spans="18:22">
      <c r="R177" s="48" t="s">
        <v>251</v>
      </c>
      <c r="V177" s="49"/>
    </row>
    <row r="178" spans="18:22">
      <c r="R178" s="60" t="s">
        <v>252</v>
      </c>
      <c r="V178" s="49"/>
    </row>
    <row r="179" spans="18:22">
      <c r="R179" s="60" t="s">
        <v>253</v>
      </c>
      <c r="V179" s="49"/>
    </row>
    <row r="180" spans="18:22">
      <c r="R180" s="60" t="s">
        <v>254</v>
      </c>
      <c r="V180" s="49"/>
    </row>
    <row r="181" spans="18:22">
      <c r="R181" s="48" t="s">
        <v>255</v>
      </c>
      <c r="V181" s="49"/>
    </row>
    <row r="182" spans="18:22">
      <c r="R182" s="60" t="s">
        <v>256</v>
      </c>
      <c r="V182" s="49"/>
    </row>
    <row r="183" spans="18:22">
      <c r="R183" s="48" t="s">
        <v>257</v>
      </c>
      <c r="V183" s="49"/>
    </row>
    <row r="184" spans="18:22">
      <c r="R184" s="60" t="s">
        <v>258</v>
      </c>
      <c r="V184" s="49"/>
    </row>
    <row r="185" spans="18:22">
      <c r="R185" s="60" t="s">
        <v>259</v>
      </c>
      <c r="V185" s="49"/>
    </row>
    <row r="186" spans="18:22">
      <c r="R186" s="60" t="s">
        <v>260</v>
      </c>
      <c r="V186" s="49"/>
    </row>
    <row r="187" spans="18:22">
      <c r="R187" s="60" t="s">
        <v>261</v>
      </c>
      <c r="V187" s="49"/>
    </row>
    <row r="188" spans="18:22">
      <c r="R188" s="60" t="s">
        <v>262</v>
      </c>
      <c r="V188" s="49"/>
    </row>
    <row r="189" spans="18:22">
      <c r="R189" s="48" t="s">
        <v>263</v>
      </c>
      <c r="V189" s="49"/>
    </row>
    <row r="190" spans="18:22">
      <c r="R190" s="60" t="s">
        <v>264</v>
      </c>
      <c r="V190" s="49"/>
    </row>
    <row r="191" spans="18:22">
      <c r="R191" s="48" t="s">
        <v>265</v>
      </c>
      <c r="V191" s="49"/>
    </row>
    <row r="192" spans="18:22">
      <c r="R192" s="60" t="s">
        <v>266</v>
      </c>
      <c r="V192" s="49"/>
    </row>
    <row r="193" spans="18:22">
      <c r="R193" s="48" t="s">
        <v>267</v>
      </c>
      <c r="V193" s="49"/>
    </row>
    <row r="194" spans="18:22">
      <c r="R194" s="60" t="s">
        <v>268</v>
      </c>
      <c r="V194" s="49"/>
    </row>
    <row r="195" spans="18:22">
      <c r="R195" s="60" t="s">
        <v>269</v>
      </c>
      <c r="V195" s="49"/>
    </row>
    <row r="196" spans="18:22">
      <c r="R196" s="48" t="s">
        <v>270</v>
      </c>
      <c r="V196" s="49"/>
    </row>
    <row r="197" spans="18:22">
      <c r="R197" s="60" t="s">
        <v>271</v>
      </c>
      <c r="V197" s="49"/>
    </row>
    <row r="198" spans="18:22">
      <c r="R198" s="60" t="s">
        <v>272</v>
      </c>
      <c r="V198" s="49"/>
    </row>
    <row r="199" spans="18:22">
      <c r="R199" s="48" t="s">
        <v>273</v>
      </c>
      <c r="V199" s="49"/>
    </row>
    <row r="200" spans="18:22">
      <c r="R200" s="60" t="s">
        <v>274</v>
      </c>
      <c r="V200" s="49"/>
    </row>
    <row r="201" spans="18:22">
      <c r="R201" s="60" t="s">
        <v>275</v>
      </c>
      <c r="V201" s="49"/>
    </row>
    <row r="202" spans="18:22">
      <c r="R202" s="60" t="s">
        <v>276</v>
      </c>
      <c r="V202" s="49"/>
    </row>
    <row r="203" spans="18:22">
      <c r="R203" s="80" t="s">
        <v>149</v>
      </c>
      <c r="V203" s="76"/>
    </row>
    <row r="204" spans="18:22">
      <c r="R204" s="80" t="s">
        <v>277</v>
      </c>
      <c r="V204" s="76"/>
    </row>
    <row r="205" spans="18:22">
      <c r="R205" s="80" t="s">
        <v>190</v>
      </c>
      <c r="V205" s="76"/>
    </row>
    <row r="206" spans="18:22">
      <c r="R206" s="80" t="s">
        <v>274</v>
      </c>
      <c r="V206" s="76"/>
    </row>
    <row r="207" spans="18:22">
      <c r="R207" s="80" t="s">
        <v>242</v>
      </c>
      <c r="V207" s="76"/>
    </row>
    <row r="208" spans="18:22">
      <c r="R208" s="80" t="s">
        <v>278</v>
      </c>
      <c r="V208" s="76"/>
    </row>
    <row r="209" spans="18:22">
      <c r="R209" s="80" t="s">
        <v>279</v>
      </c>
      <c r="V209" s="76"/>
    </row>
    <row r="210" spans="18:22">
      <c r="R210" s="80" t="s">
        <v>174</v>
      </c>
      <c r="V210" s="76"/>
    </row>
    <row r="211" spans="18:22">
      <c r="R211" s="80" t="s">
        <v>226</v>
      </c>
      <c r="V211" s="76"/>
    </row>
    <row r="212" spans="18:22">
      <c r="R212" s="80" t="s">
        <v>280</v>
      </c>
      <c r="V212" s="76"/>
    </row>
    <row r="213" spans="18:22">
      <c r="R213" s="80" t="s">
        <v>281</v>
      </c>
      <c r="V213" s="76"/>
    </row>
    <row r="214" spans="18:22">
      <c r="R214" s="80" t="s">
        <v>153</v>
      </c>
      <c r="V214" s="76"/>
    </row>
    <row r="215" spans="18:22">
      <c r="R215" s="80" t="s">
        <v>282</v>
      </c>
      <c r="V215" s="76"/>
    </row>
    <row r="216" spans="18:22">
      <c r="R216" s="80" t="s">
        <v>163</v>
      </c>
      <c r="V216" s="76"/>
    </row>
    <row r="217" spans="18:22">
      <c r="R217" s="80" t="s">
        <v>119</v>
      </c>
      <c r="V217" s="76"/>
    </row>
    <row r="218" spans="18:22">
      <c r="R218" s="80" t="s">
        <v>283</v>
      </c>
      <c r="V218" s="76"/>
    </row>
    <row r="219" spans="18:22">
      <c r="R219" s="80" t="s">
        <v>243</v>
      </c>
      <c r="V219" s="76"/>
    </row>
    <row r="220" spans="18:22">
      <c r="R220" s="80" t="s">
        <v>284</v>
      </c>
      <c r="V220" s="76"/>
    </row>
    <row r="221" spans="18:22">
      <c r="R221" s="80" t="s">
        <v>209</v>
      </c>
      <c r="V221" s="76"/>
    </row>
    <row r="222" spans="18:22">
      <c r="R222" s="80" t="s">
        <v>185</v>
      </c>
      <c r="V222" s="76"/>
    </row>
    <row r="223" spans="18:22">
      <c r="R223" s="80" t="s">
        <v>285</v>
      </c>
      <c r="V223" s="76"/>
    </row>
    <row r="224" spans="18:22">
      <c r="R224" s="80" t="s">
        <v>286</v>
      </c>
      <c r="V224" s="76"/>
    </row>
    <row r="225" spans="18:22">
      <c r="R225" s="80" t="s">
        <v>210</v>
      </c>
      <c r="V225" s="76"/>
    </row>
    <row r="226" spans="18:22">
      <c r="R226" s="80" t="s">
        <v>287</v>
      </c>
      <c r="V226" s="76"/>
    </row>
    <row r="227" spans="18:22">
      <c r="R227" s="80" t="s">
        <v>288</v>
      </c>
      <c r="V227" s="76"/>
    </row>
    <row r="228" spans="18:22">
      <c r="R228" s="80" t="s">
        <v>139</v>
      </c>
      <c r="V228" s="76"/>
    </row>
    <row r="229" spans="18:22">
      <c r="R229" s="80" t="s">
        <v>202</v>
      </c>
      <c r="V229" s="76"/>
    </row>
    <row r="230" spans="18:22">
      <c r="R230" s="80" t="s">
        <v>125</v>
      </c>
      <c r="V230" s="76"/>
    </row>
    <row r="231" spans="18:22">
      <c r="R231" s="80" t="s">
        <v>249</v>
      </c>
      <c r="V231" s="76"/>
    </row>
    <row r="232" spans="18:22" ht="19.5" customHeight="1" thickBot="1">
      <c r="R232" s="45" t="s">
        <v>289</v>
      </c>
      <c r="S232" s="81"/>
      <c r="T232" s="81"/>
      <c r="U232" s="42"/>
      <c r="V232" s="82"/>
    </row>
  </sheetData>
  <mergeCells count="20">
    <mergeCell ref="AK40:AM40"/>
    <mergeCell ref="R37:V37"/>
    <mergeCell ref="AL1:AL3"/>
    <mergeCell ref="D38:F38"/>
    <mergeCell ref="AB2:AI2"/>
    <mergeCell ref="AA37:AG37"/>
    <mergeCell ref="E40:F44"/>
    <mergeCell ref="AK44:AL44"/>
    <mergeCell ref="AK1:AK3"/>
    <mergeCell ref="AM1:AM3"/>
    <mergeCell ref="G41:H41"/>
    <mergeCell ref="G44:H44"/>
    <mergeCell ref="C2:I2"/>
    <mergeCell ref="G40:H40"/>
    <mergeCell ref="K2:Q2"/>
    <mergeCell ref="G43:H43"/>
    <mergeCell ref="AA38:AB38"/>
    <mergeCell ref="G42:H42"/>
    <mergeCell ref="S2:Z2"/>
    <mergeCell ref="A1:AI1"/>
  </mergeCells>
  <pageMargins left="0.7" right="0.7" top="0.75" bottom="0.75" header="0.3" footer="0.3"/>
  <pageSetup orientation="portrait" horizontalDpi="360" verticalDpi="36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Q235"/>
  <sheetViews>
    <sheetView tabSelected="1" topLeftCell="A26" zoomScale="85" zoomScaleNormal="85" workbookViewId="0">
      <selection activeCell="S43" sqref="S43"/>
    </sheetView>
  </sheetViews>
  <sheetFormatPr defaultRowHeight="15"/>
  <cols>
    <col min="3" max="3" width="12.85546875" style="95" customWidth="1"/>
    <col min="4" max="7" width="13.42578125" style="95" customWidth="1"/>
    <col min="8" max="9" width="9.140625" style="95" customWidth="1"/>
    <col min="10" max="10" width="3.28515625" style="95" customWidth="1"/>
    <col min="18" max="18" width="3.28515625" style="95" customWidth="1"/>
    <col min="27" max="27" width="3.28515625" style="95" customWidth="1"/>
    <col min="36" max="36" width="3" style="95" customWidth="1"/>
  </cols>
  <sheetData>
    <row r="1" spans="1:40" ht="20.25" customHeight="1">
      <c r="A1" s="112" t="s">
        <v>33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"/>
      <c r="AK1" s="137" t="s">
        <v>34</v>
      </c>
      <c r="AL1" s="137" t="s">
        <v>35</v>
      </c>
      <c r="AM1" s="142" t="s">
        <v>36</v>
      </c>
      <c r="AN1" s="2"/>
    </row>
    <row r="2" spans="1:40" ht="18.75" customHeight="1">
      <c r="A2" s="60"/>
      <c r="B2" s="3"/>
      <c r="C2" s="129" t="s">
        <v>37</v>
      </c>
      <c r="D2" s="107"/>
      <c r="E2" s="107"/>
      <c r="F2" s="107"/>
      <c r="G2" s="107"/>
      <c r="H2" s="107"/>
      <c r="I2" s="111"/>
      <c r="J2" s="4"/>
      <c r="K2" s="131" t="s">
        <v>38</v>
      </c>
      <c r="L2" s="107"/>
      <c r="M2" s="107"/>
      <c r="N2" s="107"/>
      <c r="O2" s="107"/>
      <c r="P2" s="107"/>
      <c r="Q2" s="111"/>
      <c r="R2" s="5"/>
      <c r="S2" s="110" t="s">
        <v>39</v>
      </c>
      <c r="T2" s="107"/>
      <c r="U2" s="107"/>
      <c r="V2" s="107"/>
      <c r="W2" s="107"/>
      <c r="X2" s="107"/>
      <c r="Y2" s="107"/>
      <c r="Z2" s="111"/>
      <c r="AA2" s="6"/>
      <c r="AB2" s="110" t="s">
        <v>40</v>
      </c>
      <c r="AC2" s="107"/>
      <c r="AD2" s="107"/>
      <c r="AE2" s="107"/>
      <c r="AF2" s="107"/>
      <c r="AG2" s="107"/>
      <c r="AH2" s="107"/>
      <c r="AI2" s="111"/>
      <c r="AJ2" s="7"/>
      <c r="AK2" s="120"/>
      <c r="AL2" s="120"/>
      <c r="AM2" s="120"/>
      <c r="AN2" s="8"/>
    </row>
    <row r="3" spans="1:40" ht="27" customHeight="1">
      <c r="A3" s="9">
        <v>46174</v>
      </c>
      <c r="B3" s="10"/>
      <c r="C3" s="83" t="s">
        <v>41</v>
      </c>
      <c r="D3" s="28" t="s">
        <v>42</v>
      </c>
      <c r="E3" s="28" t="s">
        <v>43</v>
      </c>
      <c r="F3" s="28" t="s">
        <v>44</v>
      </c>
      <c r="G3" s="28" t="s">
        <v>45</v>
      </c>
      <c r="H3" s="29" t="s">
        <v>46</v>
      </c>
      <c r="I3" s="88" t="s">
        <v>47</v>
      </c>
      <c r="J3" s="89"/>
      <c r="K3" s="83" t="s">
        <v>41</v>
      </c>
      <c r="L3" s="28" t="s">
        <v>42</v>
      </c>
      <c r="M3" s="28" t="s">
        <v>43</v>
      </c>
      <c r="N3" s="28" t="s">
        <v>44</v>
      </c>
      <c r="O3" s="28" t="s">
        <v>45</v>
      </c>
      <c r="P3" s="28" t="s">
        <v>46</v>
      </c>
      <c r="Q3" s="88" t="s">
        <v>47</v>
      </c>
      <c r="R3" s="13"/>
      <c r="S3" s="84" t="s">
        <v>48</v>
      </c>
      <c r="T3" s="87" t="s">
        <v>49</v>
      </c>
      <c r="U3" s="87" t="s">
        <v>50</v>
      </c>
      <c r="V3" s="85" t="s">
        <v>51</v>
      </c>
      <c r="W3" s="85" t="s">
        <v>52</v>
      </c>
      <c r="X3" s="85" t="s">
        <v>53</v>
      </c>
      <c r="Y3" s="86" t="s">
        <v>28</v>
      </c>
      <c r="Z3" s="90" t="s">
        <v>47</v>
      </c>
      <c r="AA3" s="15"/>
      <c r="AB3" s="84" t="s">
        <v>48</v>
      </c>
      <c r="AC3" s="87" t="s">
        <v>49</v>
      </c>
      <c r="AD3" s="87" t="s">
        <v>50</v>
      </c>
      <c r="AE3" s="85" t="s">
        <v>51</v>
      </c>
      <c r="AF3" s="85" t="s">
        <v>52</v>
      </c>
      <c r="AG3" s="85" t="s">
        <v>54</v>
      </c>
      <c r="AH3" s="86" t="s">
        <v>28</v>
      </c>
      <c r="AI3" s="90" t="s">
        <v>55</v>
      </c>
      <c r="AJ3" s="16"/>
      <c r="AK3" s="121"/>
      <c r="AL3" s="121"/>
      <c r="AM3" s="121"/>
      <c r="AN3" s="8" t="s">
        <v>56</v>
      </c>
    </row>
    <row r="4" spans="1:40" ht="18.75" customHeight="1">
      <c r="A4" s="17" t="s">
        <v>57</v>
      </c>
      <c r="B4" s="78">
        <v>1</v>
      </c>
      <c r="C4" s="78">
        <v>1</v>
      </c>
      <c r="D4" s="78">
        <v>1</v>
      </c>
      <c r="E4" s="78">
        <v>2</v>
      </c>
      <c r="F4" s="78"/>
      <c r="G4" s="78">
        <v>3</v>
      </c>
      <c r="H4" s="3"/>
      <c r="I4" s="18">
        <f t="shared" ref="I4:I34" si="0">SUM(C4:H4)</f>
        <v>7</v>
      </c>
      <c r="J4" s="19"/>
      <c r="K4" s="91"/>
      <c r="L4" s="78"/>
      <c r="M4" s="78"/>
      <c r="N4" s="78"/>
      <c r="O4" s="78">
        <v>2</v>
      </c>
      <c r="P4" s="78">
        <v>4</v>
      </c>
      <c r="Q4" s="18">
        <f t="shared" ref="Q4:Q34" si="1">SUM(K4:P4)</f>
        <v>6</v>
      </c>
      <c r="R4" s="20"/>
      <c r="S4" s="93">
        <v>7</v>
      </c>
      <c r="T4" s="21">
        <v>3</v>
      </c>
      <c r="U4" s="21">
        <v>1</v>
      </c>
      <c r="V4" s="21"/>
      <c r="W4" s="21"/>
      <c r="X4" s="21"/>
      <c r="Y4" s="22"/>
      <c r="Z4" s="23">
        <f t="shared" ref="Z4:Z34" si="2">SUM(S4:Y4)</f>
        <v>11</v>
      </c>
      <c r="AA4" s="24"/>
      <c r="AB4" s="91"/>
      <c r="AC4" s="78">
        <v>19</v>
      </c>
      <c r="AD4" s="78"/>
      <c r="AE4" s="78">
        <v>3</v>
      </c>
      <c r="AF4" s="78">
        <v>8</v>
      </c>
      <c r="AG4" s="78"/>
      <c r="AH4" s="3">
        <v>1</v>
      </c>
      <c r="AI4" s="23">
        <f t="shared" ref="AI4:AI34" si="3">SUM(AB4:AH4)</f>
        <v>31</v>
      </c>
      <c r="AJ4" s="7"/>
      <c r="AK4" s="25">
        <f t="shared" ref="AK4:AK34" si="4">I4+Q4</f>
        <v>13</v>
      </c>
      <c r="AL4" s="26">
        <f t="shared" ref="AL4:AL34" si="5">Z4+AI4</f>
        <v>42</v>
      </c>
      <c r="AM4" s="26">
        <f t="shared" ref="AM4:AM34" si="6">AK4+AL4</f>
        <v>55</v>
      </c>
      <c r="AN4" s="8">
        <v>1</v>
      </c>
    </row>
    <row r="5" spans="1:40" ht="18.75" customHeight="1">
      <c r="A5" s="17" t="s">
        <v>58</v>
      </c>
      <c r="B5" s="78">
        <v>2</v>
      </c>
      <c r="C5" s="78"/>
      <c r="D5" s="78"/>
      <c r="E5" s="78"/>
      <c r="F5" s="78"/>
      <c r="G5" s="78">
        <v>13</v>
      </c>
      <c r="H5" s="3">
        <v>2</v>
      </c>
      <c r="I5" s="18">
        <f t="shared" si="0"/>
        <v>15</v>
      </c>
      <c r="J5" s="19"/>
      <c r="K5" s="92"/>
      <c r="L5" s="78">
        <v>1</v>
      </c>
      <c r="M5" s="78"/>
      <c r="N5" s="78">
        <v>4</v>
      </c>
      <c r="O5" s="78">
        <v>4</v>
      </c>
      <c r="P5" s="78">
        <v>13</v>
      </c>
      <c r="Q5" s="18">
        <f t="shared" si="1"/>
        <v>22</v>
      </c>
      <c r="R5" s="20"/>
      <c r="S5" s="94">
        <v>3</v>
      </c>
      <c r="T5" s="21">
        <v>6</v>
      </c>
      <c r="U5" s="21"/>
      <c r="V5" s="21">
        <v>1</v>
      </c>
      <c r="W5" s="21"/>
      <c r="X5" s="21"/>
      <c r="Y5" s="22">
        <v>3</v>
      </c>
      <c r="Z5" s="23">
        <f t="shared" si="2"/>
        <v>13</v>
      </c>
      <c r="AA5" s="24"/>
      <c r="AB5" s="92"/>
      <c r="AC5" s="78">
        <v>16</v>
      </c>
      <c r="AD5" s="78"/>
      <c r="AE5" s="78">
        <v>21</v>
      </c>
      <c r="AF5" s="78">
        <v>11</v>
      </c>
      <c r="AG5" s="78"/>
      <c r="AH5" s="3"/>
      <c r="AI5" s="23">
        <f t="shared" si="3"/>
        <v>48</v>
      </c>
      <c r="AJ5" s="7"/>
      <c r="AK5" s="25">
        <f t="shared" si="4"/>
        <v>37</v>
      </c>
      <c r="AL5" s="26">
        <f t="shared" si="5"/>
        <v>61</v>
      </c>
      <c r="AM5" s="26">
        <f t="shared" si="6"/>
        <v>98</v>
      </c>
      <c r="AN5" s="8">
        <v>2</v>
      </c>
    </row>
    <row r="6" spans="1:40" ht="18.75" customHeight="1">
      <c r="A6" s="17" t="s">
        <v>59</v>
      </c>
      <c r="B6" s="78">
        <v>3</v>
      </c>
      <c r="C6" s="78"/>
      <c r="D6" s="78"/>
      <c r="E6" s="78"/>
      <c r="F6" s="78"/>
      <c r="G6" s="78">
        <v>6</v>
      </c>
      <c r="H6" s="3"/>
      <c r="I6" s="18">
        <f t="shared" si="0"/>
        <v>6</v>
      </c>
      <c r="J6" s="19"/>
      <c r="K6" s="92"/>
      <c r="L6" s="78"/>
      <c r="M6" s="78"/>
      <c r="N6" s="78"/>
      <c r="O6" s="78"/>
      <c r="P6" s="78">
        <v>2</v>
      </c>
      <c r="Q6" s="18">
        <f t="shared" si="1"/>
        <v>2</v>
      </c>
      <c r="R6" s="20"/>
      <c r="S6" s="94">
        <v>12</v>
      </c>
      <c r="T6" s="21">
        <v>2</v>
      </c>
      <c r="U6" s="21">
        <v>1</v>
      </c>
      <c r="V6" s="21">
        <v>2</v>
      </c>
      <c r="W6" s="21"/>
      <c r="X6" s="21"/>
      <c r="Y6" s="22">
        <v>2</v>
      </c>
      <c r="Z6" s="23">
        <f t="shared" si="2"/>
        <v>19</v>
      </c>
      <c r="AA6" s="24"/>
      <c r="AB6" s="92"/>
      <c r="AC6" s="78">
        <v>24</v>
      </c>
      <c r="AD6" s="78"/>
      <c r="AE6" s="78">
        <v>13</v>
      </c>
      <c r="AF6" s="78">
        <v>6</v>
      </c>
      <c r="AG6" s="78">
        <v>1</v>
      </c>
      <c r="AH6" s="3"/>
      <c r="AI6" s="23">
        <f t="shared" si="3"/>
        <v>44</v>
      </c>
      <c r="AJ6" s="7"/>
      <c r="AK6" s="25">
        <f t="shared" si="4"/>
        <v>8</v>
      </c>
      <c r="AL6" s="26">
        <f t="shared" si="5"/>
        <v>63</v>
      </c>
      <c r="AM6" s="26">
        <f t="shared" si="6"/>
        <v>71</v>
      </c>
      <c r="AN6" s="8">
        <v>3</v>
      </c>
    </row>
    <row r="7" spans="1:40" ht="18.75" customHeight="1">
      <c r="A7" s="17" t="s">
        <v>60</v>
      </c>
      <c r="B7" s="78">
        <v>4</v>
      </c>
      <c r="C7" s="78"/>
      <c r="D7" s="78">
        <v>1</v>
      </c>
      <c r="E7" s="78"/>
      <c r="F7" s="78"/>
      <c r="G7" s="78">
        <v>3</v>
      </c>
      <c r="H7" s="3"/>
      <c r="I7" s="18">
        <f t="shared" si="0"/>
        <v>4</v>
      </c>
      <c r="J7" s="19"/>
      <c r="K7" s="92"/>
      <c r="L7" s="78">
        <v>3</v>
      </c>
      <c r="M7" s="78">
        <v>1</v>
      </c>
      <c r="N7" s="78"/>
      <c r="O7" s="78">
        <v>2</v>
      </c>
      <c r="P7" s="78">
        <v>2</v>
      </c>
      <c r="Q7" s="18">
        <f t="shared" si="1"/>
        <v>8</v>
      </c>
      <c r="R7" s="20"/>
      <c r="S7" s="94">
        <v>2</v>
      </c>
      <c r="T7" s="21">
        <v>2</v>
      </c>
      <c r="U7" s="21">
        <v>1</v>
      </c>
      <c r="V7" s="21">
        <v>2</v>
      </c>
      <c r="W7" s="21">
        <v>1</v>
      </c>
      <c r="X7" s="21"/>
      <c r="Y7" s="22">
        <v>3</v>
      </c>
      <c r="Z7" s="23">
        <f t="shared" si="2"/>
        <v>11</v>
      </c>
      <c r="AA7" s="24"/>
      <c r="AB7" s="92"/>
      <c r="AC7" s="78">
        <v>32</v>
      </c>
      <c r="AD7" s="78"/>
      <c r="AE7" s="78">
        <v>11</v>
      </c>
      <c r="AF7" s="78">
        <v>14</v>
      </c>
      <c r="AG7" s="78">
        <v>2</v>
      </c>
      <c r="AH7" s="3"/>
      <c r="AI7" s="23">
        <f t="shared" si="3"/>
        <v>59</v>
      </c>
      <c r="AJ7" s="7"/>
      <c r="AK7" s="25">
        <f t="shared" si="4"/>
        <v>12</v>
      </c>
      <c r="AL7" s="26">
        <f t="shared" si="5"/>
        <v>70</v>
      </c>
      <c r="AM7" s="26">
        <f t="shared" si="6"/>
        <v>82</v>
      </c>
      <c r="AN7" s="8">
        <v>4</v>
      </c>
    </row>
    <row r="8" spans="1:40" ht="18.75" customHeight="1">
      <c r="A8" s="17" t="s">
        <v>61</v>
      </c>
      <c r="B8" s="78">
        <v>5</v>
      </c>
      <c r="C8" s="78"/>
      <c r="D8" s="78"/>
      <c r="E8" s="78"/>
      <c r="F8" s="78"/>
      <c r="G8" s="78"/>
      <c r="H8" s="3"/>
      <c r="I8" s="18">
        <f t="shared" si="0"/>
        <v>0</v>
      </c>
      <c r="J8" s="19"/>
      <c r="K8" s="92"/>
      <c r="L8" s="78"/>
      <c r="M8" s="78"/>
      <c r="N8" s="78"/>
      <c r="O8" s="78"/>
      <c r="P8" s="78"/>
      <c r="Q8" s="18">
        <f t="shared" si="1"/>
        <v>0</v>
      </c>
      <c r="R8" s="20"/>
      <c r="S8" s="94"/>
      <c r="T8" s="21"/>
      <c r="U8" s="21"/>
      <c r="V8" s="21"/>
      <c r="W8" s="21"/>
      <c r="X8" s="21"/>
      <c r="Y8" s="22"/>
      <c r="Z8" s="23">
        <f t="shared" si="2"/>
        <v>0</v>
      </c>
      <c r="AA8" s="24"/>
      <c r="AB8" s="92"/>
      <c r="AC8" s="78"/>
      <c r="AD8" s="78"/>
      <c r="AE8" s="78"/>
      <c r="AF8" s="78"/>
      <c r="AG8" s="78"/>
      <c r="AH8" s="3"/>
      <c r="AI8" s="23">
        <f t="shared" si="3"/>
        <v>0</v>
      </c>
      <c r="AJ8" s="7"/>
      <c r="AK8" s="25">
        <f t="shared" si="4"/>
        <v>0</v>
      </c>
      <c r="AL8" s="26">
        <f t="shared" si="5"/>
        <v>0</v>
      </c>
      <c r="AM8" s="26">
        <f t="shared" si="6"/>
        <v>0</v>
      </c>
      <c r="AN8" s="8">
        <v>5</v>
      </c>
    </row>
    <row r="9" spans="1:40" ht="18.75" customHeight="1">
      <c r="A9" s="17" t="s">
        <v>62</v>
      </c>
      <c r="B9" s="78">
        <v>6</v>
      </c>
      <c r="C9" s="78"/>
      <c r="D9" s="78"/>
      <c r="E9" s="78"/>
      <c r="F9" s="78"/>
      <c r="G9" s="78"/>
      <c r="H9" s="3"/>
      <c r="I9" s="18">
        <f t="shared" si="0"/>
        <v>0</v>
      </c>
      <c r="J9" s="19"/>
      <c r="K9" s="92"/>
      <c r="L9" s="78"/>
      <c r="M9" s="78"/>
      <c r="N9" s="78"/>
      <c r="O9" s="78"/>
      <c r="P9" s="78"/>
      <c r="Q9" s="18">
        <f t="shared" si="1"/>
        <v>0</v>
      </c>
      <c r="R9" s="20"/>
      <c r="S9" s="94"/>
      <c r="T9" s="21"/>
      <c r="U9" s="21"/>
      <c r="V9" s="21"/>
      <c r="W9" s="21"/>
      <c r="X9" s="21"/>
      <c r="Y9" s="22"/>
      <c r="Z9" s="23">
        <f t="shared" si="2"/>
        <v>0</v>
      </c>
      <c r="AA9" s="24"/>
      <c r="AB9" s="92"/>
      <c r="AC9" s="78"/>
      <c r="AD9" s="78"/>
      <c r="AE9" s="78"/>
      <c r="AF9" s="78"/>
      <c r="AG9" s="78"/>
      <c r="AH9" s="3"/>
      <c r="AI9" s="23">
        <f t="shared" si="3"/>
        <v>0</v>
      </c>
      <c r="AJ9" s="7"/>
      <c r="AK9" s="25">
        <f t="shared" si="4"/>
        <v>0</v>
      </c>
      <c r="AL9" s="26">
        <f t="shared" si="5"/>
        <v>0</v>
      </c>
      <c r="AM9" s="26">
        <f t="shared" si="6"/>
        <v>0</v>
      </c>
      <c r="AN9" s="8">
        <v>6</v>
      </c>
    </row>
    <row r="10" spans="1:40" ht="18.75" customHeight="1">
      <c r="A10" s="17" t="s">
        <v>63</v>
      </c>
      <c r="B10" s="78">
        <v>7</v>
      </c>
      <c r="C10" s="78"/>
      <c r="D10" s="78"/>
      <c r="E10" s="78"/>
      <c r="F10" s="78"/>
      <c r="G10" s="78"/>
      <c r="H10" s="3"/>
      <c r="I10" s="18">
        <f t="shared" si="0"/>
        <v>0</v>
      </c>
      <c r="J10" s="19"/>
      <c r="K10" s="92"/>
      <c r="L10" s="78"/>
      <c r="M10" s="78"/>
      <c r="N10" s="78"/>
      <c r="O10" s="78"/>
      <c r="P10" s="78"/>
      <c r="Q10" s="18">
        <f t="shared" si="1"/>
        <v>0</v>
      </c>
      <c r="R10" s="20"/>
      <c r="S10" s="94"/>
      <c r="T10" s="21"/>
      <c r="U10" s="21"/>
      <c r="V10" s="21"/>
      <c r="W10" s="21"/>
      <c r="X10" s="21"/>
      <c r="Y10" s="22"/>
      <c r="Z10" s="23">
        <f t="shared" si="2"/>
        <v>0</v>
      </c>
      <c r="AA10" s="24"/>
      <c r="AB10" s="92"/>
      <c r="AC10" s="78"/>
      <c r="AD10" s="78"/>
      <c r="AE10" s="78"/>
      <c r="AF10" s="78"/>
      <c r="AG10" s="78"/>
      <c r="AH10" s="3"/>
      <c r="AI10" s="23">
        <f t="shared" si="3"/>
        <v>0</v>
      </c>
      <c r="AJ10" s="7"/>
      <c r="AK10" s="25">
        <f t="shared" si="4"/>
        <v>0</v>
      </c>
      <c r="AL10" s="26">
        <f t="shared" si="5"/>
        <v>0</v>
      </c>
      <c r="AM10" s="26">
        <f t="shared" si="6"/>
        <v>0</v>
      </c>
      <c r="AN10" s="8">
        <v>7</v>
      </c>
    </row>
    <row r="11" spans="1:40" ht="18.75" customHeight="1">
      <c r="A11" s="17" t="s">
        <v>57</v>
      </c>
      <c r="B11" s="78">
        <v>8</v>
      </c>
      <c r="C11" s="78"/>
      <c r="D11" s="78"/>
      <c r="E11" s="78"/>
      <c r="F11" s="78"/>
      <c r="G11" s="78"/>
      <c r="H11" s="3"/>
      <c r="I11" s="18">
        <f t="shared" si="0"/>
        <v>0</v>
      </c>
      <c r="J11" s="19"/>
      <c r="K11" s="92"/>
      <c r="L11" s="78"/>
      <c r="M11" s="78"/>
      <c r="N11" s="78"/>
      <c r="O11" s="78"/>
      <c r="P11" s="78"/>
      <c r="Q11" s="18">
        <f t="shared" si="1"/>
        <v>0</v>
      </c>
      <c r="R11" s="20"/>
      <c r="S11" s="94"/>
      <c r="T11" s="21"/>
      <c r="U11" s="21"/>
      <c r="V11" s="21"/>
      <c r="W11" s="21"/>
      <c r="X11" s="21"/>
      <c r="Y11" s="22"/>
      <c r="Z11" s="23">
        <f t="shared" si="2"/>
        <v>0</v>
      </c>
      <c r="AA11" s="24"/>
      <c r="AB11" s="92"/>
      <c r="AC11" s="78"/>
      <c r="AD11" s="78"/>
      <c r="AE11" s="78"/>
      <c r="AF11" s="78"/>
      <c r="AG11" s="78"/>
      <c r="AH11" s="3"/>
      <c r="AI11" s="23">
        <f t="shared" si="3"/>
        <v>0</v>
      </c>
      <c r="AJ11" s="7"/>
      <c r="AK11" s="25">
        <f t="shared" si="4"/>
        <v>0</v>
      </c>
      <c r="AL11" s="26">
        <f t="shared" si="5"/>
        <v>0</v>
      </c>
      <c r="AM11" s="26">
        <f t="shared" si="6"/>
        <v>0</v>
      </c>
      <c r="AN11" s="8">
        <v>8</v>
      </c>
    </row>
    <row r="12" spans="1:40" ht="18.75" customHeight="1">
      <c r="A12" s="17" t="s">
        <v>58</v>
      </c>
      <c r="B12" s="78">
        <v>9</v>
      </c>
      <c r="C12" s="78"/>
      <c r="D12" s="78"/>
      <c r="E12" s="78"/>
      <c r="F12" s="78"/>
      <c r="G12" s="78"/>
      <c r="H12" s="3"/>
      <c r="I12" s="18">
        <f t="shared" si="0"/>
        <v>0</v>
      </c>
      <c r="J12" s="19"/>
      <c r="K12" s="92"/>
      <c r="L12" s="78"/>
      <c r="M12" s="78"/>
      <c r="N12" s="78"/>
      <c r="O12" s="78"/>
      <c r="P12" s="78"/>
      <c r="Q12" s="18">
        <f t="shared" si="1"/>
        <v>0</v>
      </c>
      <c r="R12" s="20"/>
      <c r="S12" s="94"/>
      <c r="T12" s="21"/>
      <c r="U12" s="21"/>
      <c r="V12" s="21"/>
      <c r="W12" s="21"/>
      <c r="X12" s="21"/>
      <c r="Y12" s="22"/>
      <c r="Z12" s="23">
        <f t="shared" si="2"/>
        <v>0</v>
      </c>
      <c r="AA12" s="24"/>
      <c r="AB12" s="92"/>
      <c r="AC12" s="78"/>
      <c r="AD12" s="78"/>
      <c r="AE12" s="78"/>
      <c r="AF12" s="78"/>
      <c r="AG12" s="78"/>
      <c r="AH12" s="3"/>
      <c r="AI12" s="23">
        <f t="shared" si="3"/>
        <v>0</v>
      </c>
      <c r="AJ12" s="7"/>
      <c r="AK12" s="25">
        <f t="shared" si="4"/>
        <v>0</v>
      </c>
      <c r="AL12" s="26">
        <f t="shared" si="5"/>
        <v>0</v>
      </c>
      <c r="AM12" s="26">
        <f t="shared" si="6"/>
        <v>0</v>
      </c>
      <c r="AN12" s="8">
        <v>9</v>
      </c>
    </row>
    <row r="13" spans="1:40" ht="18.75" customHeight="1">
      <c r="A13" s="17" t="s">
        <v>59</v>
      </c>
      <c r="B13" s="78">
        <v>10</v>
      </c>
      <c r="C13" s="78"/>
      <c r="D13" s="78"/>
      <c r="E13" s="78"/>
      <c r="F13" s="78"/>
      <c r="G13" s="78"/>
      <c r="H13" s="3"/>
      <c r="I13" s="18">
        <f t="shared" si="0"/>
        <v>0</v>
      </c>
      <c r="J13" s="19"/>
      <c r="K13" s="92"/>
      <c r="L13" s="78"/>
      <c r="M13" s="78"/>
      <c r="N13" s="78"/>
      <c r="O13" s="78"/>
      <c r="P13" s="78"/>
      <c r="Q13" s="18">
        <f t="shared" si="1"/>
        <v>0</v>
      </c>
      <c r="R13" s="20"/>
      <c r="S13" s="94"/>
      <c r="T13" s="21"/>
      <c r="U13" s="21"/>
      <c r="V13" s="21"/>
      <c r="W13" s="21"/>
      <c r="X13" s="21"/>
      <c r="Y13" s="22"/>
      <c r="Z13" s="23">
        <f t="shared" si="2"/>
        <v>0</v>
      </c>
      <c r="AA13" s="24"/>
      <c r="AB13" s="92"/>
      <c r="AC13" s="78"/>
      <c r="AD13" s="78"/>
      <c r="AE13" s="78"/>
      <c r="AF13" s="78"/>
      <c r="AG13" s="78"/>
      <c r="AH13" s="3"/>
      <c r="AI13" s="23">
        <f t="shared" si="3"/>
        <v>0</v>
      </c>
      <c r="AJ13" s="7"/>
      <c r="AK13" s="25">
        <f t="shared" si="4"/>
        <v>0</v>
      </c>
      <c r="AL13" s="26">
        <f t="shared" si="5"/>
        <v>0</v>
      </c>
      <c r="AM13" s="26">
        <f t="shared" si="6"/>
        <v>0</v>
      </c>
      <c r="AN13" s="8">
        <v>10</v>
      </c>
    </row>
    <row r="14" spans="1:40" ht="18.75" customHeight="1">
      <c r="A14" s="17" t="s">
        <v>60</v>
      </c>
      <c r="B14" s="78">
        <v>11</v>
      </c>
      <c r="C14" s="78"/>
      <c r="D14" s="78"/>
      <c r="E14" s="78"/>
      <c r="F14" s="78"/>
      <c r="G14" s="78"/>
      <c r="H14" s="3"/>
      <c r="I14" s="18">
        <f t="shared" si="0"/>
        <v>0</v>
      </c>
      <c r="J14" s="19"/>
      <c r="K14" s="92"/>
      <c r="L14" s="78"/>
      <c r="M14" s="78"/>
      <c r="N14" s="78"/>
      <c r="O14" s="78"/>
      <c r="P14" s="78"/>
      <c r="Q14" s="18">
        <f t="shared" si="1"/>
        <v>0</v>
      </c>
      <c r="R14" s="20"/>
      <c r="S14" s="94"/>
      <c r="T14" s="21"/>
      <c r="U14" s="21"/>
      <c r="V14" s="21"/>
      <c r="W14" s="21"/>
      <c r="X14" s="21"/>
      <c r="Y14" s="22"/>
      <c r="Z14" s="23">
        <f t="shared" si="2"/>
        <v>0</v>
      </c>
      <c r="AA14" s="24"/>
      <c r="AB14" s="92"/>
      <c r="AC14" s="78"/>
      <c r="AD14" s="78"/>
      <c r="AE14" s="78"/>
      <c r="AF14" s="78"/>
      <c r="AG14" s="78"/>
      <c r="AH14" s="3"/>
      <c r="AI14" s="23">
        <f t="shared" si="3"/>
        <v>0</v>
      </c>
      <c r="AJ14" s="7"/>
      <c r="AK14" s="25">
        <f t="shared" si="4"/>
        <v>0</v>
      </c>
      <c r="AL14" s="26">
        <f t="shared" si="5"/>
        <v>0</v>
      </c>
      <c r="AM14" s="26">
        <f t="shared" si="6"/>
        <v>0</v>
      </c>
      <c r="AN14" s="8">
        <v>11</v>
      </c>
    </row>
    <row r="15" spans="1:40" ht="18.75" customHeight="1">
      <c r="A15" s="17" t="s">
        <v>61</v>
      </c>
      <c r="B15" s="78">
        <v>12</v>
      </c>
      <c r="C15" s="78"/>
      <c r="D15" s="78"/>
      <c r="E15" s="78"/>
      <c r="F15" s="78"/>
      <c r="G15" s="78"/>
      <c r="H15" s="3"/>
      <c r="I15" s="18">
        <f t="shared" si="0"/>
        <v>0</v>
      </c>
      <c r="J15" s="19"/>
      <c r="K15" s="92"/>
      <c r="L15" s="78"/>
      <c r="M15" s="78"/>
      <c r="N15" s="78"/>
      <c r="O15" s="78"/>
      <c r="P15" s="78"/>
      <c r="Q15" s="18">
        <f t="shared" si="1"/>
        <v>0</v>
      </c>
      <c r="R15" s="20"/>
      <c r="S15" s="94"/>
      <c r="T15" s="21"/>
      <c r="U15" s="21"/>
      <c r="V15" s="21"/>
      <c r="W15" s="21"/>
      <c r="X15" s="21"/>
      <c r="Y15" s="22"/>
      <c r="Z15" s="23">
        <f t="shared" si="2"/>
        <v>0</v>
      </c>
      <c r="AA15" s="24"/>
      <c r="AB15" s="92"/>
      <c r="AC15" s="78"/>
      <c r="AD15" s="78"/>
      <c r="AE15" s="78"/>
      <c r="AF15" s="78"/>
      <c r="AG15" s="78"/>
      <c r="AH15" s="3"/>
      <c r="AI15" s="23">
        <f t="shared" si="3"/>
        <v>0</v>
      </c>
      <c r="AJ15" s="7"/>
      <c r="AK15" s="25">
        <f t="shared" si="4"/>
        <v>0</v>
      </c>
      <c r="AL15" s="26">
        <f t="shared" si="5"/>
        <v>0</v>
      </c>
      <c r="AM15" s="26">
        <f t="shared" si="6"/>
        <v>0</v>
      </c>
      <c r="AN15" s="8">
        <v>12</v>
      </c>
    </row>
    <row r="16" spans="1:40" ht="18.75" customHeight="1">
      <c r="A16" s="17" t="s">
        <v>62</v>
      </c>
      <c r="B16" s="78">
        <v>13</v>
      </c>
      <c r="C16" s="78"/>
      <c r="D16" s="78"/>
      <c r="E16" s="78"/>
      <c r="F16" s="78"/>
      <c r="G16" s="78"/>
      <c r="H16" s="3"/>
      <c r="I16" s="18">
        <f t="shared" si="0"/>
        <v>0</v>
      </c>
      <c r="J16" s="19"/>
      <c r="K16" s="92"/>
      <c r="L16" s="78"/>
      <c r="M16" s="78"/>
      <c r="N16" s="78"/>
      <c r="O16" s="78"/>
      <c r="P16" s="78"/>
      <c r="Q16" s="18">
        <f t="shared" si="1"/>
        <v>0</v>
      </c>
      <c r="R16" s="20"/>
      <c r="S16" s="94"/>
      <c r="T16" s="21"/>
      <c r="U16" s="21"/>
      <c r="V16" s="21"/>
      <c r="W16" s="21"/>
      <c r="X16" s="21"/>
      <c r="Y16" s="22"/>
      <c r="Z16" s="23">
        <f t="shared" si="2"/>
        <v>0</v>
      </c>
      <c r="AA16" s="24"/>
      <c r="AB16" s="92"/>
      <c r="AC16" s="78"/>
      <c r="AD16" s="78"/>
      <c r="AE16" s="78"/>
      <c r="AF16" s="78"/>
      <c r="AG16" s="78"/>
      <c r="AH16" s="3"/>
      <c r="AI16" s="23">
        <f t="shared" si="3"/>
        <v>0</v>
      </c>
      <c r="AJ16" s="7"/>
      <c r="AK16" s="25">
        <f t="shared" si="4"/>
        <v>0</v>
      </c>
      <c r="AL16" s="26">
        <f t="shared" si="5"/>
        <v>0</v>
      </c>
      <c r="AM16" s="26">
        <f t="shared" si="6"/>
        <v>0</v>
      </c>
      <c r="AN16" s="8">
        <v>13</v>
      </c>
    </row>
    <row r="17" spans="1:40" ht="18.75" customHeight="1">
      <c r="A17" s="17" t="s">
        <v>63</v>
      </c>
      <c r="B17" s="78">
        <v>14</v>
      </c>
      <c r="C17" s="78"/>
      <c r="D17" s="78"/>
      <c r="E17" s="78"/>
      <c r="F17" s="78"/>
      <c r="G17" s="78"/>
      <c r="H17" s="3"/>
      <c r="I17" s="18">
        <f t="shared" si="0"/>
        <v>0</v>
      </c>
      <c r="J17" s="19"/>
      <c r="K17" s="92"/>
      <c r="L17" s="78"/>
      <c r="M17" s="78"/>
      <c r="N17" s="78"/>
      <c r="O17" s="78"/>
      <c r="P17" s="78"/>
      <c r="Q17" s="18">
        <f t="shared" si="1"/>
        <v>0</v>
      </c>
      <c r="R17" s="20"/>
      <c r="S17" s="94"/>
      <c r="T17" s="21"/>
      <c r="U17" s="21"/>
      <c r="V17" s="21"/>
      <c r="W17" s="21"/>
      <c r="X17" s="21"/>
      <c r="Y17" s="22"/>
      <c r="Z17" s="23">
        <f t="shared" si="2"/>
        <v>0</v>
      </c>
      <c r="AA17" s="24"/>
      <c r="AB17" s="92"/>
      <c r="AC17" s="78"/>
      <c r="AD17" s="78"/>
      <c r="AE17" s="78"/>
      <c r="AF17" s="78"/>
      <c r="AG17" s="78"/>
      <c r="AH17" s="3"/>
      <c r="AI17" s="23">
        <f t="shared" si="3"/>
        <v>0</v>
      </c>
      <c r="AJ17" s="7"/>
      <c r="AK17" s="25">
        <f t="shared" si="4"/>
        <v>0</v>
      </c>
      <c r="AL17" s="26">
        <f t="shared" si="5"/>
        <v>0</v>
      </c>
      <c r="AM17" s="26">
        <f t="shared" si="6"/>
        <v>0</v>
      </c>
      <c r="AN17" s="8">
        <v>14</v>
      </c>
    </row>
    <row r="18" spans="1:40" ht="18.75" customHeight="1">
      <c r="A18" s="17" t="s">
        <v>57</v>
      </c>
      <c r="B18" s="78">
        <v>15</v>
      </c>
      <c r="C18" s="78"/>
      <c r="D18" s="78"/>
      <c r="E18" s="78"/>
      <c r="F18" s="78"/>
      <c r="G18" s="78"/>
      <c r="H18" s="3"/>
      <c r="I18" s="18">
        <f t="shared" si="0"/>
        <v>0</v>
      </c>
      <c r="J18" s="19"/>
      <c r="K18" s="92"/>
      <c r="L18" s="78"/>
      <c r="M18" s="78"/>
      <c r="N18" s="78"/>
      <c r="O18" s="78"/>
      <c r="P18" s="78"/>
      <c r="Q18" s="18">
        <f t="shared" si="1"/>
        <v>0</v>
      </c>
      <c r="R18" s="20"/>
      <c r="S18" s="94"/>
      <c r="T18" s="21"/>
      <c r="U18" s="21"/>
      <c r="V18" s="21"/>
      <c r="W18" s="21"/>
      <c r="X18" s="21"/>
      <c r="Y18" s="22"/>
      <c r="Z18" s="23">
        <f t="shared" si="2"/>
        <v>0</v>
      </c>
      <c r="AA18" s="24"/>
      <c r="AB18" s="92"/>
      <c r="AC18" s="78"/>
      <c r="AD18" s="78"/>
      <c r="AE18" s="78"/>
      <c r="AF18" s="78"/>
      <c r="AG18" s="78"/>
      <c r="AH18" s="3"/>
      <c r="AI18" s="23">
        <f t="shared" si="3"/>
        <v>0</v>
      </c>
      <c r="AJ18" s="7"/>
      <c r="AK18" s="25">
        <f t="shared" si="4"/>
        <v>0</v>
      </c>
      <c r="AL18" s="26">
        <f t="shared" si="5"/>
        <v>0</v>
      </c>
      <c r="AM18" s="26">
        <f t="shared" si="6"/>
        <v>0</v>
      </c>
      <c r="AN18" s="8">
        <v>15</v>
      </c>
    </row>
    <row r="19" spans="1:40" ht="18.75" customHeight="1">
      <c r="A19" s="17" t="s">
        <v>58</v>
      </c>
      <c r="B19" s="78">
        <v>16</v>
      </c>
      <c r="C19" s="78"/>
      <c r="D19" s="78"/>
      <c r="E19" s="78"/>
      <c r="F19" s="78"/>
      <c r="G19" s="78"/>
      <c r="H19" s="3"/>
      <c r="I19" s="18">
        <f t="shared" si="0"/>
        <v>0</v>
      </c>
      <c r="J19" s="19"/>
      <c r="K19" s="92"/>
      <c r="L19" s="78"/>
      <c r="M19" s="78"/>
      <c r="N19" s="78"/>
      <c r="O19" s="78"/>
      <c r="P19" s="78"/>
      <c r="Q19" s="18">
        <f t="shared" si="1"/>
        <v>0</v>
      </c>
      <c r="R19" s="20"/>
      <c r="S19" s="94"/>
      <c r="T19" s="21"/>
      <c r="U19" s="21"/>
      <c r="V19" s="21"/>
      <c r="W19" s="21"/>
      <c r="X19" s="21"/>
      <c r="Y19" s="22"/>
      <c r="Z19" s="23">
        <f t="shared" si="2"/>
        <v>0</v>
      </c>
      <c r="AA19" s="24"/>
      <c r="AB19" s="92"/>
      <c r="AC19" s="78"/>
      <c r="AD19" s="78"/>
      <c r="AE19" s="78"/>
      <c r="AF19" s="78"/>
      <c r="AG19" s="78"/>
      <c r="AH19" s="3"/>
      <c r="AI19" s="23">
        <f t="shared" si="3"/>
        <v>0</v>
      </c>
      <c r="AJ19" s="7"/>
      <c r="AK19" s="25">
        <f t="shared" si="4"/>
        <v>0</v>
      </c>
      <c r="AL19" s="26">
        <f t="shared" si="5"/>
        <v>0</v>
      </c>
      <c r="AM19" s="26">
        <f t="shared" si="6"/>
        <v>0</v>
      </c>
      <c r="AN19" s="8">
        <v>16</v>
      </c>
    </row>
    <row r="20" spans="1:40" ht="18.75" customHeight="1">
      <c r="A20" s="17" t="s">
        <v>59</v>
      </c>
      <c r="B20" s="78">
        <v>17</v>
      </c>
      <c r="C20" s="78"/>
      <c r="D20" s="78"/>
      <c r="E20" s="78"/>
      <c r="F20" s="78"/>
      <c r="G20" s="78"/>
      <c r="H20" s="3"/>
      <c r="I20" s="18">
        <f t="shared" si="0"/>
        <v>0</v>
      </c>
      <c r="J20" s="19"/>
      <c r="K20" s="92"/>
      <c r="L20" s="78"/>
      <c r="M20" s="78"/>
      <c r="N20" s="78"/>
      <c r="O20" s="78"/>
      <c r="P20" s="78"/>
      <c r="Q20" s="18">
        <f t="shared" si="1"/>
        <v>0</v>
      </c>
      <c r="R20" s="20"/>
      <c r="S20" s="94"/>
      <c r="T20" s="21"/>
      <c r="U20" s="21"/>
      <c r="V20" s="21"/>
      <c r="W20" s="21"/>
      <c r="X20" s="21"/>
      <c r="Y20" s="22"/>
      <c r="Z20" s="23">
        <f t="shared" si="2"/>
        <v>0</v>
      </c>
      <c r="AA20" s="24"/>
      <c r="AB20" s="92"/>
      <c r="AC20" s="78"/>
      <c r="AD20" s="78"/>
      <c r="AE20" s="78"/>
      <c r="AF20" s="78"/>
      <c r="AG20" s="78"/>
      <c r="AH20" s="3"/>
      <c r="AI20" s="23">
        <f t="shared" si="3"/>
        <v>0</v>
      </c>
      <c r="AJ20" s="7"/>
      <c r="AK20" s="25">
        <f t="shared" si="4"/>
        <v>0</v>
      </c>
      <c r="AL20" s="26">
        <f t="shared" si="5"/>
        <v>0</v>
      </c>
      <c r="AM20" s="26">
        <f t="shared" si="6"/>
        <v>0</v>
      </c>
      <c r="AN20" s="8">
        <v>17</v>
      </c>
    </row>
    <row r="21" spans="1:40" ht="18.75" customHeight="1">
      <c r="A21" s="17" t="s">
        <v>60</v>
      </c>
      <c r="B21" s="78">
        <v>18</v>
      </c>
      <c r="C21" s="78"/>
      <c r="D21" s="78"/>
      <c r="E21" s="78"/>
      <c r="F21" s="78"/>
      <c r="G21" s="78"/>
      <c r="H21" s="3"/>
      <c r="I21" s="18">
        <f t="shared" si="0"/>
        <v>0</v>
      </c>
      <c r="J21" s="19"/>
      <c r="K21" s="92"/>
      <c r="L21" s="78"/>
      <c r="M21" s="78"/>
      <c r="N21" s="78"/>
      <c r="O21" s="78"/>
      <c r="P21" s="78"/>
      <c r="Q21" s="18">
        <f t="shared" si="1"/>
        <v>0</v>
      </c>
      <c r="R21" s="20"/>
      <c r="S21" s="94"/>
      <c r="T21" s="21"/>
      <c r="U21" s="21"/>
      <c r="V21" s="21"/>
      <c r="W21" s="21"/>
      <c r="X21" s="21"/>
      <c r="Y21" s="22"/>
      <c r="Z21" s="23">
        <f t="shared" si="2"/>
        <v>0</v>
      </c>
      <c r="AA21" s="24"/>
      <c r="AB21" s="92"/>
      <c r="AC21" s="78"/>
      <c r="AD21" s="78"/>
      <c r="AE21" s="78"/>
      <c r="AF21" s="78"/>
      <c r="AG21" s="78"/>
      <c r="AH21" s="3"/>
      <c r="AI21" s="23">
        <f t="shared" si="3"/>
        <v>0</v>
      </c>
      <c r="AJ21" s="7"/>
      <c r="AK21" s="25">
        <f t="shared" si="4"/>
        <v>0</v>
      </c>
      <c r="AL21" s="26">
        <f t="shared" si="5"/>
        <v>0</v>
      </c>
      <c r="AM21" s="26">
        <f t="shared" si="6"/>
        <v>0</v>
      </c>
      <c r="AN21" s="8">
        <v>18</v>
      </c>
    </row>
    <row r="22" spans="1:40" ht="18.75" customHeight="1">
      <c r="A22" s="17" t="s">
        <v>61</v>
      </c>
      <c r="B22" s="78">
        <v>19</v>
      </c>
      <c r="C22" s="78"/>
      <c r="D22" s="78"/>
      <c r="E22" s="78"/>
      <c r="F22" s="78"/>
      <c r="G22" s="78"/>
      <c r="H22" s="3"/>
      <c r="I22" s="18">
        <f t="shared" si="0"/>
        <v>0</v>
      </c>
      <c r="J22" s="19"/>
      <c r="K22" s="92"/>
      <c r="L22" s="78"/>
      <c r="M22" s="78"/>
      <c r="N22" s="78"/>
      <c r="O22" s="78"/>
      <c r="P22" s="78"/>
      <c r="Q22" s="18">
        <f t="shared" si="1"/>
        <v>0</v>
      </c>
      <c r="R22" s="20"/>
      <c r="S22" s="94"/>
      <c r="T22" s="21"/>
      <c r="U22" s="21"/>
      <c r="V22" s="21"/>
      <c r="W22" s="21"/>
      <c r="X22" s="21"/>
      <c r="Y22" s="22"/>
      <c r="Z22" s="23">
        <f t="shared" si="2"/>
        <v>0</v>
      </c>
      <c r="AA22" s="24"/>
      <c r="AB22" s="92"/>
      <c r="AC22" s="78"/>
      <c r="AD22" s="78"/>
      <c r="AE22" s="78"/>
      <c r="AF22" s="78"/>
      <c r="AG22" s="78"/>
      <c r="AH22" s="3"/>
      <c r="AI22" s="23">
        <f t="shared" si="3"/>
        <v>0</v>
      </c>
      <c r="AJ22" s="7"/>
      <c r="AK22" s="25">
        <f t="shared" si="4"/>
        <v>0</v>
      </c>
      <c r="AL22" s="26">
        <f t="shared" si="5"/>
        <v>0</v>
      </c>
      <c r="AM22" s="26">
        <f t="shared" si="6"/>
        <v>0</v>
      </c>
      <c r="AN22" s="8">
        <v>19</v>
      </c>
    </row>
    <row r="23" spans="1:40" ht="18.75" customHeight="1">
      <c r="A23" s="17" t="s">
        <v>62</v>
      </c>
      <c r="B23" s="78">
        <v>20</v>
      </c>
      <c r="C23" s="78"/>
      <c r="D23" s="78"/>
      <c r="E23" s="78"/>
      <c r="F23" s="78"/>
      <c r="G23" s="78"/>
      <c r="H23" s="3"/>
      <c r="I23" s="18">
        <f t="shared" si="0"/>
        <v>0</v>
      </c>
      <c r="J23" s="19"/>
      <c r="K23" s="92"/>
      <c r="L23" s="78"/>
      <c r="M23" s="78"/>
      <c r="N23" s="78"/>
      <c r="O23" s="78"/>
      <c r="P23" s="78"/>
      <c r="Q23" s="18">
        <f t="shared" si="1"/>
        <v>0</v>
      </c>
      <c r="R23" s="20"/>
      <c r="S23" s="94"/>
      <c r="T23" s="21"/>
      <c r="U23" s="21"/>
      <c r="V23" s="21"/>
      <c r="W23" s="21"/>
      <c r="X23" s="21"/>
      <c r="Y23" s="22"/>
      <c r="Z23" s="23">
        <f t="shared" si="2"/>
        <v>0</v>
      </c>
      <c r="AA23" s="24"/>
      <c r="AB23" s="92"/>
      <c r="AC23" s="78"/>
      <c r="AD23" s="78"/>
      <c r="AE23" s="78"/>
      <c r="AF23" s="78"/>
      <c r="AG23" s="78"/>
      <c r="AH23" s="3"/>
      <c r="AI23" s="23">
        <f t="shared" si="3"/>
        <v>0</v>
      </c>
      <c r="AJ23" s="7"/>
      <c r="AK23" s="25">
        <f t="shared" si="4"/>
        <v>0</v>
      </c>
      <c r="AL23" s="26">
        <f t="shared" si="5"/>
        <v>0</v>
      </c>
      <c r="AM23" s="26">
        <f t="shared" si="6"/>
        <v>0</v>
      </c>
      <c r="AN23" s="8">
        <v>20</v>
      </c>
    </row>
    <row r="24" spans="1:40" ht="18.75" customHeight="1">
      <c r="A24" s="17" t="s">
        <v>63</v>
      </c>
      <c r="B24" s="78">
        <v>21</v>
      </c>
      <c r="C24" s="78"/>
      <c r="D24" s="78"/>
      <c r="E24" s="78"/>
      <c r="F24" s="78"/>
      <c r="G24" s="78"/>
      <c r="H24" s="3"/>
      <c r="I24" s="18">
        <f t="shared" si="0"/>
        <v>0</v>
      </c>
      <c r="J24" s="19"/>
      <c r="K24" s="92"/>
      <c r="L24" s="78"/>
      <c r="M24" s="78"/>
      <c r="N24" s="78"/>
      <c r="O24" s="78"/>
      <c r="P24" s="78"/>
      <c r="Q24" s="18">
        <f t="shared" si="1"/>
        <v>0</v>
      </c>
      <c r="R24" s="20"/>
      <c r="S24" s="94"/>
      <c r="T24" s="21"/>
      <c r="U24" s="21"/>
      <c r="V24" s="21"/>
      <c r="W24" s="21"/>
      <c r="X24" s="21"/>
      <c r="Y24" s="22"/>
      <c r="Z24" s="23">
        <f t="shared" si="2"/>
        <v>0</v>
      </c>
      <c r="AA24" s="24"/>
      <c r="AB24" s="92"/>
      <c r="AC24" s="78"/>
      <c r="AD24" s="78"/>
      <c r="AE24" s="78"/>
      <c r="AF24" s="78"/>
      <c r="AG24" s="78"/>
      <c r="AH24" s="3"/>
      <c r="AI24" s="23">
        <f t="shared" si="3"/>
        <v>0</v>
      </c>
      <c r="AJ24" s="7"/>
      <c r="AK24" s="25">
        <f t="shared" si="4"/>
        <v>0</v>
      </c>
      <c r="AL24" s="26">
        <f t="shared" si="5"/>
        <v>0</v>
      </c>
      <c r="AM24" s="26">
        <f t="shared" si="6"/>
        <v>0</v>
      </c>
      <c r="AN24" s="8">
        <v>21</v>
      </c>
    </row>
    <row r="25" spans="1:40" ht="18.75" customHeight="1">
      <c r="A25" s="17" t="s">
        <v>57</v>
      </c>
      <c r="B25" s="78">
        <v>22</v>
      </c>
      <c r="C25" s="78"/>
      <c r="D25" s="78"/>
      <c r="E25" s="78"/>
      <c r="F25" s="78"/>
      <c r="G25" s="78"/>
      <c r="H25" s="3"/>
      <c r="I25" s="18">
        <f t="shared" si="0"/>
        <v>0</v>
      </c>
      <c r="J25" s="19"/>
      <c r="K25" s="92"/>
      <c r="L25" s="78"/>
      <c r="M25" s="78"/>
      <c r="N25" s="78"/>
      <c r="O25" s="78"/>
      <c r="P25" s="78"/>
      <c r="Q25" s="18">
        <f t="shared" si="1"/>
        <v>0</v>
      </c>
      <c r="R25" s="20"/>
      <c r="S25" s="94"/>
      <c r="T25" s="21"/>
      <c r="U25" s="21"/>
      <c r="V25" s="21"/>
      <c r="W25" s="21"/>
      <c r="X25" s="21"/>
      <c r="Y25" s="22"/>
      <c r="Z25" s="23">
        <f t="shared" si="2"/>
        <v>0</v>
      </c>
      <c r="AA25" s="24"/>
      <c r="AB25" s="92"/>
      <c r="AC25" s="78"/>
      <c r="AD25" s="78"/>
      <c r="AE25" s="78"/>
      <c r="AF25" s="78"/>
      <c r="AG25" s="78"/>
      <c r="AH25" s="3"/>
      <c r="AI25" s="23">
        <f t="shared" si="3"/>
        <v>0</v>
      </c>
      <c r="AJ25" s="7"/>
      <c r="AK25" s="25">
        <f t="shared" si="4"/>
        <v>0</v>
      </c>
      <c r="AL25" s="26">
        <f t="shared" si="5"/>
        <v>0</v>
      </c>
      <c r="AM25" s="26">
        <f t="shared" si="6"/>
        <v>0</v>
      </c>
      <c r="AN25" s="8">
        <v>22</v>
      </c>
    </row>
    <row r="26" spans="1:40" ht="18.75" customHeight="1">
      <c r="A26" s="17" t="s">
        <v>58</v>
      </c>
      <c r="B26" s="78">
        <v>23</v>
      </c>
      <c r="C26" s="78"/>
      <c r="D26" s="78"/>
      <c r="E26" s="78"/>
      <c r="F26" s="78"/>
      <c r="G26" s="78"/>
      <c r="H26" s="3"/>
      <c r="I26" s="18">
        <f t="shared" si="0"/>
        <v>0</v>
      </c>
      <c r="J26" s="19"/>
      <c r="K26" s="92"/>
      <c r="L26" s="78"/>
      <c r="M26" s="78"/>
      <c r="N26" s="78"/>
      <c r="O26" s="78"/>
      <c r="P26" s="78"/>
      <c r="Q26" s="18">
        <f t="shared" si="1"/>
        <v>0</v>
      </c>
      <c r="R26" s="20"/>
      <c r="S26" s="94"/>
      <c r="T26" s="21"/>
      <c r="U26" s="21"/>
      <c r="V26" s="21"/>
      <c r="W26" s="21"/>
      <c r="X26" s="21"/>
      <c r="Y26" s="22"/>
      <c r="Z26" s="23">
        <f t="shared" si="2"/>
        <v>0</v>
      </c>
      <c r="AA26" s="24"/>
      <c r="AB26" s="92"/>
      <c r="AC26" s="78"/>
      <c r="AD26" s="78"/>
      <c r="AE26" s="78"/>
      <c r="AF26" s="78"/>
      <c r="AG26" s="78"/>
      <c r="AH26" s="3"/>
      <c r="AI26" s="23">
        <f t="shared" si="3"/>
        <v>0</v>
      </c>
      <c r="AJ26" s="7"/>
      <c r="AK26" s="25">
        <f t="shared" si="4"/>
        <v>0</v>
      </c>
      <c r="AL26" s="26">
        <f t="shared" si="5"/>
        <v>0</v>
      </c>
      <c r="AM26" s="26">
        <f t="shared" si="6"/>
        <v>0</v>
      </c>
      <c r="AN26" s="8">
        <v>23</v>
      </c>
    </row>
    <row r="27" spans="1:40" ht="18.75" customHeight="1">
      <c r="A27" s="17" t="s">
        <v>59</v>
      </c>
      <c r="B27" s="78">
        <v>24</v>
      </c>
      <c r="C27" s="78"/>
      <c r="D27" s="78"/>
      <c r="E27" s="78"/>
      <c r="F27" s="78"/>
      <c r="G27" s="78"/>
      <c r="H27" s="3"/>
      <c r="I27" s="18">
        <f t="shared" si="0"/>
        <v>0</v>
      </c>
      <c r="J27" s="19"/>
      <c r="K27" s="92"/>
      <c r="L27" s="78"/>
      <c r="M27" s="78"/>
      <c r="N27" s="78"/>
      <c r="O27" s="78"/>
      <c r="P27" s="78"/>
      <c r="Q27" s="18">
        <f t="shared" si="1"/>
        <v>0</v>
      </c>
      <c r="R27" s="20"/>
      <c r="S27" s="94"/>
      <c r="T27" s="21"/>
      <c r="U27" s="21"/>
      <c r="V27" s="21"/>
      <c r="W27" s="21"/>
      <c r="X27" s="21"/>
      <c r="Y27" s="22"/>
      <c r="Z27" s="23">
        <f t="shared" si="2"/>
        <v>0</v>
      </c>
      <c r="AA27" s="24"/>
      <c r="AB27" s="92"/>
      <c r="AC27" s="78"/>
      <c r="AD27" s="78"/>
      <c r="AE27" s="78"/>
      <c r="AF27" s="78"/>
      <c r="AG27" s="78"/>
      <c r="AH27" s="3"/>
      <c r="AI27" s="23">
        <f t="shared" si="3"/>
        <v>0</v>
      </c>
      <c r="AJ27" s="7"/>
      <c r="AK27" s="25">
        <f t="shared" si="4"/>
        <v>0</v>
      </c>
      <c r="AL27" s="26">
        <f t="shared" si="5"/>
        <v>0</v>
      </c>
      <c r="AM27" s="26">
        <f t="shared" si="6"/>
        <v>0</v>
      </c>
      <c r="AN27" s="8">
        <v>24</v>
      </c>
    </row>
    <row r="28" spans="1:40" ht="18.75" customHeight="1">
      <c r="A28" s="17" t="s">
        <v>60</v>
      </c>
      <c r="B28" s="78">
        <v>25</v>
      </c>
      <c r="C28" s="78"/>
      <c r="D28" s="78"/>
      <c r="E28" s="78"/>
      <c r="F28" s="78"/>
      <c r="G28" s="78"/>
      <c r="H28" s="3"/>
      <c r="I28" s="18">
        <f t="shared" si="0"/>
        <v>0</v>
      </c>
      <c r="J28" s="19"/>
      <c r="K28" s="92"/>
      <c r="L28" s="78"/>
      <c r="M28" s="78"/>
      <c r="N28" s="78"/>
      <c r="O28" s="78"/>
      <c r="P28" s="78"/>
      <c r="Q28" s="18">
        <f t="shared" si="1"/>
        <v>0</v>
      </c>
      <c r="R28" s="20"/>
      <c r="S28" s="94"/>
      <c r="T28" s="21"/>
      <c r="U28" s="21"/>
      <c r="V28" s="21"/>
      <c r="W28" s="21"/>
      <c r="X28" s="21"/>
      <c r="Y28" s="22"/>
      <c r="Z28" s="23">
        <f t="shared" si="2"/>
        <v>0</v>
      </c>
      <c r="AA28" s="24"/>
      <c r="AB28" s="92"/>
      <c r="AC28" s="78"/>
      <c r="AD28" s="78"/>
      <c r="AE28" s="78"/>
      <c r="AF28" s="78"/>
      <c r="AG28" s="78"/>
      <c r="AH28" s="3"/>
      <c r="AI28" s="23">
        <f t="shared" si="3"/>
        <v>0</v>
      </c>
      <c r="AJ28" s="7"/>
      <c r="AK28" s="25">
        <f t="shared" si="4"/>
        <v>0</v>
      </c>
      <c r="AL28" s="26">
        <f t="shared" si="5"/>
        <v>0</v>
      </c>
      <c r="AM28" s="26">
        <f t="shared" si="6"/>
        <v>0</v>
      </c>
      <c r="AN28" s="8">
        <v>25</v>
      </c>
    </row>
    <row r="29" spans="1:40" ht="18.75" customHeight="1">
      <c r="A29" s="17" t="s">
        <v>61</v>
      </c>
      <c r="B29" s="78">
        <v>26</v>
      </c>
      <c r="C29" s="78"/>
      <c r="D29" s="78"/>
      <c r="E29" s="78"/>
      <c r="F29" s="78"/>
      <c r="G29" s="78"/>
      <c r="H29" s="3"/>
      <c r="I29" s="18">
        <f t="shared" si="0"/>
        <v>0</v>
      </c>
      <c r="J29" s="19"/>
      <c r="K29" s="92"/>
      <c r="L29" s="78"/>
      <c r="M29" s="78"/>
      <c r="N29" s="78"/>
      <c r="O29" s="78"/>
      <c r="P29" s="78"/>
      <c r="Q29" s="18">
        <f t="shared" si="1"/>
        <v>0</v>
      </c>
      <c r="R29" s="20"/>
      <c r="S29" s="94"/>
      <c r="T29" s="21"/>
      <c r="U29" s="21"/>
      <c r="V29" s="21"/>
      <c r="W29" s="21"/>
      <c r="X29" s="21"/>
      <c r="Y29" s="22"/>
      <c r="Z29" s="23">
        <f t="shared" si="2"/>
        <v>0</v>
      </c>
      <c r="AA29" s="24"/>
      <c r="AB29" s="92"/>
      <c r="AC29" s="78"/>
      <c r="AD29" s="78"/>
      <c r="AE29" s="78"/>
      <c r="AF29" s="78"/>
      <c r="AG29" s="78"/>
      <c r="AH29" s="3"/>
      <c r="AI29" s="23">
        <f t="shared" si="3"/>
        <v>0</v>
      </c>
      <c r="AJ29" s="7"/>
      <c r="AK29" s="25">
        <f t="shared" si="4"/>
        <v>0</v>
      </c>
      <c r="AL29" s="26">
        <f t="shared" si="5"/>
        <v>0</v>
      </c>
      <c r="AM29" s="26">
        <f t="shared" si="6"/>
        <v>0</v>
      </c>
      <c r="AN29" s="8">
        <v>26</v>
      </c>
    </row>
    <row r="30" spans="1:40" ht="18.75" customHeight="1">
      <c r="A30" s="17" t="s">
        <v>62</v>
      </c>
      <c r="B30" s="78">
        <v>27</v>
      </c>
      <c r="C30" s="78"/>
      <c r="D30" s="78"/>
      <c r="E30" s="78"/>
      <c r="F30" s="78"/>
      <c r="G30" s="78"/>
      <c r="H30" s="3"/>
      <c r="I30" s="18">
        <f t="shared" si="0"/>
        <v>0</v>
      </c>
      <c r="J30" s="19"/>
      <c r="K30" s="92"/>
      <c r="L30" s="78"/>
      <c r="M30" s="78"/>
      <c r="N30" s="78"/>
      <c r="O30" s="78"/>
      <c r="P30" s="78"/>
      <c r="Q30" s="18">
        <f t="shared" si="1"/>
        <v>0</v>
      </c>
      <c r="R30" s="20"/>
      <c r="S30" s="94"/>
      <c r="T30" s="21"/>
      <c r="U30" s="21"/>
      <c r="V30" s="21"/>
      <c r="W30" s="21"/>
      <c r="X30" s="21"/>
      <c r="Y30" s="22"/>
      <c r="Z30" s="23">
        <f t="shared" si="2"/>
        <v>0</v>
      </c>
      <c r="AA30" s="24"/>
      <c r="AB30" s="92"/>
      <c r="AC30" s="78"/>
      <c r="AD30" s="78"/>
      <c r="AE30" s="78"/>
      <c r="AF30" s="78"/>
      <c r="AG30" s="78"/>
      <c r="AH30" s="3"/>
      <c r="AI30" s="23">
        <f t="shared" si="3"/>
        <v>0</v>
      </c>
      <c r="AJ30" s="7"/>
      <c r="AK30" s="25">
        <f t="shared" si="4"/>
        <v>0</v>
      </c>
      <c r="AL30" s="26">
        <f t="shared" si="5"/>
        <v>0</v>
      </c>
      <c r="AM30" s="26">
        <f t="shared" si="6"/>
        <v>0</v>
      </c>
      <c r="AN30" s="8">
        <v>27</v>
      </c>
    </row>
    <row r="31" spans="1:40" ht="18.75" customHeight="1">
      <c r="A31" s="17" t="s">
        <v>63</v>
      </c>
      <c r="B31" s="78">
        <v>28</v>
      </c>
      <c r="C31" s="78"/>
      <c r="D31" s="78"/>
      <c r="E31" s="78"/>
      <c r="F31" s="78"/>
      <c r="G31" s="78"/>
      <c r="H31" s="3"/>
      <c r="I31" s="18">
        <f t="shared" si="0"/>
        <v>0</v>
      </c>
      <c r="J31" s="19"/>
      <c r="K31" s="92"/>
      <c r="L31" s="78"/>
      <c r="M31" s="78"/>
      <c r="N31" s="78"/>
      <c r="O31" s="78"/>
      <c r="P31" s="78"/>
      <c r="Q31" s="18">
        <f t="shared" si="1"/>
        <v>0</v>
      </c>
      <c r="R31" s="20"/>
      <c r="S31" s="94"/>
      <c r="T31" s="21"/>
      <c r="U31" s="21"/>
      <c r="V31" s="21"/>
      <c r="W31" s="21"/>
      <c r="X31" s="21"/>
      <c r="Y31" s="22"/>
      <c r="Z31" s="23">
        <f t="shared" si="2"/>
        <v>0</v>
      </c>
      <c r="AA31" s="24"/>
      <c r="AB31" s="92"/>
      <c r="AC31" s="78"/>
      <c r="AD31" s="78"/>
      <c r="AE31" s="78"/>
      <c r="AF31" s="78"/>
      <c r="AG31" s="78"/>
      <c r="AH31" s="3"/>
      <c r="AI31" s="23">
        <f t="shared" si="3"/>
        <v>0</v>
      </c>
      <c r="AJ31" s="7"/>
      <c r="AK31" s="25">
        <f t="shared" si="4"/>
        <v>0</v>
      </c>
      <c r="AL31" s="26">
        <f t="shared" si="5"/>
        <v>0</v>
      </c>
      <c r="AM31" s="26">
        <f t="shared" si="6"/>
        <v>0</v>
      </c>
      <c r="AN31" s="8">
        <v>28</v>
      </c>
    </row>
    <row r="32" spans="1:40" ht="18.75" customHeight="1">
      <c r="A32" s="17" t="s">
        <v>57</v>
      </c>
      <c r="B32" s="78">
        <v>29</v>
      </c>
      <c r="C32" s="78"/>
      <c r="D32" s="78"/>
      <c r="E32" s="78"/>
      <c r="F32" s="78"/>
      <c r="G32" s="78"/>
      <c r="H32" s="3"/>
      <c r="I32" s="18">
        <f t="shared" si="0"/>
        <v>0</v>
      </c>
      <c r="J32" s="19"/>
      <c r="K32" s="92"/>
      <c r="L32" s="78"/>
      <c r="M32" s="78"/>
      <c r="N32" s="78"/>
      <c r="O32" s="78"/>
      <c r="P32" s="78"/>
      <c r="Q32" s="18">
        <f t="shared" si="1"/>
        <v>0</v>
      </c>
      <c r="R32" s="20"/>
      <c r="S32" s="94"/>
      <c r="T32" s="21"/>
      <c r="U32" s="21"/>
      <c r="V32" s="21"/>
      <c r="W32" s="21"/>
      <c r="X32" s="21"/>
      <c r="Y32" s="22"/>
      <c r="Z32" s="23">
        <f t="shared" si="2"/>
        <v>0</v>
      </c>
      <c r="AA32" s="24"/>
      <c r="AB32" s="92"/>
      <c r="AC32" s="78"/>
      <c r="AD32" s="78"/>
      <c r="AE32" s="78"/>
      <c r="AF32" s="78"/>
      <c r="AG32" s="78"/>
      <c r="AH32" s="3"/>
      <c r="AI32" s="23">
        <f t="shared" si="3"/>
        <v>0</v>
      </c>
      <c r="AJ32" s="7"/>
      <c r="AK32" s="25">
        <f t="shared" si="4"/>
        <v>0</v>
      </c>
      <c r="AL32" s="26">
        <f t="shared" si="5"/>
        <v>0</v>
      </c>
      <c r="AM32" s="26">
        <f t="shared" si="6"/>
        <v>0</v>
      </c>
      <c r="AN32" s="8">
        <v>29</v>
      </c>
    </row>
    <row r="33" spans="1:43" ht="18.75" customHeight="1">
      <c r="A33" s="17" t="s">
        <v>58</v>
      </c>
      <c r="B33" s="78">
        <v>30</v>
      </c>
      <c r="C33" s="78"/>
      <c r="D33" s="78"/>
      <c r="E33" s="78"/>
      <c r="F33" s="78"/>
      <c r="G33" s="78"/>
      <c r="H33" s="3"/>
      <c r="I33" s="18">
        <f t="shared" si="0"/>
        <v>0</v>
      </c>
      <c r="J33" s="19"/>
      <c r="K33" s="92"/>
      <c r="L33" s="78"/>
      <c r="M33" s="78"/>
      <c r="N33" s="78"/>
      <c r="O33" s="78"/>
      <c r="P33" s="78"/>
      <c r="Q33" s="18">
        <f t="shared" si="1"/>
        <v>0</v>
      </c>
      <c r="R33" s="20"/>
      <c r="S33" s="94"/>
      <c r="T33" s="21"/>
      <c r="U33" s="21"/>
      <c r="V33" s="21"/>
      <c r="W33" s="21"/>
      <c r="X33" s="21"/>
      <c r="Y33" s="22"/>
      <c r="Z33" s="23">
        <f t="shared" si="2"/>
        <v>0</v>
      </c>
      <c r="AA33" s="24"/>
      <c r="AB33" s="92"/>
      <c r="AC33" s="78"/>
      <c r="AD33" s="78"/>
      <c r="AE33" s="78"/>
      <c r="AF33" s="78"/>
      <c r="AG33" s="78"/>
      <c r="AH33" s="3"/>
      <c r="AI33" s="23">
        <f t="shared" si="3"/>
        <v>0</v>
      </c>
      <c r="AJ33" s="7"/>
      <c r="AK33" s="25">
        <f t="shared" si="4"/>
        <v>0</v>
      </c>
      <c r="AL33" s="26">
        <f t="shared" si="5"/>
        <v>0</v>
      </c>
      <c r="AM33" s="26">
        <f t="shared" si="6"/>
        <v>0</v>
      </c>
      <c r="AN33" s="8">
        <v>30</v>
      </c>
    </row>
    <row r="34" spans="1:43" ht="18.75" customHeight="1">
      <c r="A34" s="17"/>
      <c r="B34" s="78"/>
      <c r="C34" s="10"/>
      <c r="D34" s="10"/>
      <c r="E34" s="10"/>
      <c r="F34" s="10"/>
      <c r="G34" s="10"/>
      <c r="H34" s="11"/>
      <c r="I34" s="27">
        <f t="shared" si="0"/>
        <v>0</v>
      </c>
      <c r="J34" s="4"/>
      <c r="K34" s="68"/>
      <c r="L34" s="10"/>
      <c r="M34" s="10"/>
      <c r="N34" s="10"/>
      <c r="O34" s="10"/>
      <c r="P34" s="10"/>
      <c r="Q34" s="27">
        <f t="shared" si="1"/>
        <v>0</v>
      </c>
      <c r="R34" s="20"/>
      <c r="S34" s="83"/>
      <c r="T34" s="28"/>
      <c r="U34" s="28"/>
      <c r="V34" s="28"/>
      <c r="W34" s="28"/>
      <c r="X34" s="28"/>
      <c r="Y34" s="29"/>
      <c r="Z34" s="30">
        <f t="shared" si="2"/>
        <v>0</v>
      </c>
      <c r="AA34" s="24"/>
      <c r="AB34" s="68"/>
      <c r="AC34" s="78"/>
      <c r="AD34" s="78"/>
      <c r="AE34" s="78"/>
      <c r="AF34" s="78"/>
      <c r="AG34" s="78"/>
      <c r="AH34" s="3"/>
      <c r="AI34" s="23">
        <f t="shared" si="3"/>
        <v>0</v>
      </c>
      <c r="AJ34" s="7"/>
      <c r="AK34" s="25">
        <f t="shared" si="4"/>
        <v>0</v>
      </c>
      <c r="AL34" s="26">
        <f t="shared" si="5"/>
        <v>0</v>
      </c>
      <c r="AM34" s="26">
        <f t="shared" si="6"/>
        <v>0</v>
      </c>
      <c r="AN34" s="8">
        <v>31</v>
      </c>
    </row>
    <row r="35" spans="1:43" ht="21" customHeight="1" thickBot="1">
      <c r="A35" s="31"/>
      <c r="B35" s="32"/>
      <c r="C35" s="33">
        <f t="shared" ref="C35:I35" si="7">SUM(C4:C34)</f>
        <v>1</v>
      </c>
      <c r="D35" s="34">
        <f t="shared" si="7"/>
        <v>2</v>
      </c>
      <c r="E35" s="34">
        <f t="shared" si="7"/>
        <v>2</v>
      </c>
      <c r="F35" s="34">
        <f t="shared" si="7"/>
        <v>0</v>
      </c>
      <c r="G35" s="34">
        <f t="shared" si="7"/>
        <v>25</v>
      </c>
      <c r="H35" s="34">
        <f t="shared" si="7"/>
        <v>2</v>
      </c>
      <c r="I35" s="35">
        <f t="shared" si="7"/>
        <v>32</v>
      </c>
      <c r="J35" s="36"/>
      <c r="K35" s="33">
        <f t="shared" ref="K35:Q35" si="8">SUM(K4:K34)</f>
        <v>0</v>
      </c>
      <c r="L35" s="34">
        <f t="shared" si="8"/>
        <v>4</v>
      </c>
      <c r="M35" s="34">
        <f t="shared" si="8"/>
        <v>1</v>
      </c>
      <c r="N35" s="34">
        <f t="shared" si="8"/>
        <v>4</v>
      </c>
      <c r="O35" s="34">
        <f t="shared" si="8"/>
        <v>8</v>
      </c>
      <c r="P35" s="34">
        <f t="shared" si="8"/>
        <v>21</v>
      </c>
      <c r="Q35" s="35">
        <f t="shared" si="8"/>
        <v>38</v>
      </c>
      <c r="R35" s="7"/>
      <c r="S35" s="33">
        <f t="shared" ref="S35:Z35" si="9">SUM(S4:S34)</f>
        <v>24</v>
      </c>
      <c r="T35" s="34">
        <f t="shared" si="9"/>
        <v>13</v>
      </c>
      <c r="U35" s="34">
        <f t="shared" si="9"/>
        <v>3</v>
      </c>
      <c r="V35" s="34">
        <f t="shared" si="9"/>
        <v>5</v>
      </c>
      <c r="W35" s="34">
        <f t="shared" si="9"/>
        <v>1</v>
      </c>
      <c r="X35" s="34">
        <f t="shared" si="9"/>
        <v>0</v>
      </c>
      <c r="Y35" s="34">
        <f t="shared" si="9"/>
        <v>8</v>
      </c>
      <c r="Z35" s="34">
        <f t="shared" si="9"/>
        <v>54</v>
      </c>
      <c r="AA35" s="37"/>
      <c r="AB35" s="33">
        <f t="shared" ref="AB35:AI35" si="10">SUM(AB4:AB34)</f>
        <v>0</v>
      </c>
      <c r="AC35" s="38">
        <f t="shared" si="10"/>
        <v>91</v>
      </c>
      <c r="AD35" s="38">
        <f t="shared" si="10"/>
        <v>0</v>
      </c>
      <c r="AE35" s="38">
        <f t="shared" si="10"/>
        <v>48</v>
      </c>
      <c r="AF35" s="38">
        <f t="shared" si="10"/>
        <v>39</v>
      </c>
      <c r="AG35" s="38">
        <f t="shared" si="10"/>
        <v>3</v>
      </c>
      <c r="AH35" s="38">
        <f t="shared" si="10"/>
        <v>1</v>
      </c>
      <c r="AI35" s="35">
        <f t="shared" si="10"/>
        <v>182</v>
      </c>
      <c r="AJ35" s="7"/>
      <c r="AK35" s="33">
        <f>SUM(AK4:AK34)</f>
        <v>70</v>
      </c>
      <c r="AL35" s="34">
        <f>SUM(AL4:AL34)</f>
        <v>236</v>
      </c>
      <c r="AM35" s="34">
        <f>SUM(AM4:AM34)</f>
        <v>306</v>
      </c>
      <c r="AN35" s="39"/>
    </row>
    <row r="38" spans="1:43" ht="15.75" customHeight="1" thickBot="1">
      <c r="O38" s="145"/>
      <c r="P38" s="145"/>
      <c r="Q38" s="145"/>
      <c r="R38" s="145"/>
      <c r="S38" s="145"/>
      <c r="T38" s="145"/>
      <c r="U38" s="145"/>
      <c r="V38" s="145"/>
      <c r="W38" s="145"/>
      <c r="X38" s="145"/>
    </row>
    <row r="39" spans="1:43" ht="19.5" customHeight="1" thickBot="1">
      <c r="C39" s="96"/>
      <c r="D39" s="97"/>
      <c r="E39" s="97" t="s">
        <v>15</v>
      </c>
      <c r="F39" s="97"/>
      <c r="G39" s="98"/>
      <c r="K39" s="154" t="s">
        <v>64</v>
      </c>
      <c r="L39" s="155"/>
      <c r="M39" s="155"/>
      <c r="N39" s="155"/>
      <c r="O39" s="155"/>
      <c r="P39" s="155"/>
      <c r="Q39" s="156"/>
      <c r="R39" s="153"/>
      <c r="S39" s="153"/>
      <c r="T39" s="171" t="s">
        <v>65</v>
      </c>
      <c r="U39" s="172"/>
      <c r="V39" s="173"/>
      <c r="W39" s="153"/>
      <c r="X39" s="153"/>
      <c r="AK39" s="123" t="s">
        <v>66</v>
      </c>
      <c r="AL39" s="113"/>
      <c r="AM39" s="113"/>
      <c r="AN39" s="113"/>
      <c r="AO39" s="113"/>
      <c r="AP39" s="113"/>
      <c r="AQ39" s="118"/>
    </row>
    <row r="40" spans="1:43" ht="18.75" customHeight="1">
      <c r="C40" s="140" t="s">
        <v>75</v>
      </c>
      <c r="D40" s="141"/>
      <c r="E40" s="141"/>
      <c r="F40" s="141"/>
      <c r="G40" s="99">
        <v>254</v>
      </c>
      <c r="K40" s="174" t="s">
        <v>296</v>
      </c>
      <c r="L40" s="157"/>
      <c r="M40" s="158"/>
      <c r="N40" s="158"/>
      <c r="O40" s="158"/>
      <c r="P40" s="159"/>
      <c r="Q40" s="160">
        <v>6</v>
      </c>
      <c r="R40" s="149"/>
      <c r="S40" s="150"/>
      <c r="T40" s="169" t="s">
        <v>30</v>
      </c>
      <c r="U40" s="170"/>
      <c r="V40" s="160">
        <v>108</v>
      </c>
      <c r="X40" s="150"/>
      <c r="Y40" s="145"/>
      <c r="Z40" s="145"/>
      <c r="AA40" s="145"/>
      <c r="AB40" s="145"/>
      <c r="AC40" s="145"/>
      <c r="AK40" s="108" t="s">
        <v>70</v>
      </c>
      <c r="AL40" s="107"/>
      <c r="AM40" s="77">
        <v>1</v>
      </c>
      <c r="AN40" s="43">
        <v>1</v>
      </c>
      <c r="AO40" s="69" t="s">
        <v>71</v>
      </c>
      <c r="AP40" s="77">
        <v>1</v>
      </c>
      <c r="AQ40" s="44">
        <v>1</v>
      </c>
    </row>
    <row r="41" spans="1:43" ht="15.75" customHeight="1">
      <c r="C41" s="139" t="s">
        <v>79</v>
      </c>
      <c r="D41" s="133"/>
      <c r="E41" s="133"/>
      <c r="F41" s="133"/>
      <c r="G41" s="100">
        <v>33</v>
      </c>
      <c r="K41" s="161" t="s">
        <v>295</v>
      </c>
      <c r="L41" s="145"/>
      <c r="M41" s="148"/>
      <c r="N41" s="148"/>
      <c r="O41" s="148"/>
      <c r="P41" s="149"/>
      <c r="Q41" s="162">
        <v>5</v>
      </c>
      <c r="R41" s="149"/>
      <c r="S41" s="150"/>
      <c r="T41" s="60" t="s">
        <v>336</v>
      </c>
      <c r="U41" s="146"/>
      <c r="V41" s="162">
        <v>69</v>
      </c>
      <c r="X41" s="150"/>
      <c r="Y41" s="145"/>
      <c r="Z41" s="145"/>
      <c r="AA41" s="145"/>
      <c r="AB41" s="145"/>
      <c r="AC41" s="145"/>
      <c r="AK41" s="60"/>
      <c r="AL41" s="77"/>
      <c r="AM41" s="77">
        <v>2</v>
      </c>
      <c r="AN41" s="43"/>
      <c r="AO41" s="77"/>
      <c r="AP41" s="77">
        <v>2</v>
      </c>
      <c r="AQ41" s="44"/>
    </row>
    <row r="42" spans="1:43" ht="15.75" customHeight="1">
      <c r="C42" s="138" t="s">
        <v>83</v>
      </c>
      <c r="D42" s="133"/>
      <c r="E42" s="133"/>
      <c r="F42" s="133"/>
      <c r="G42" s="101">
        <v>1</v>
      </c>
      <c r="K42" s="161" t="s">
        <v>302</v>
      </c>
      <c r="L42" s="145"/>
      <c r="M42" s="148"/>
      <c r="N42" s="148"/>
      <c r="O42" s="148"/>
      <c r="P42" s="149"/>
      <c r="Q42" s="162">
        <v>5</v>
      </c>
      <c r="R42" s="149"/>
      <c r="S42" s="150"/>
      <c r="T42" s="60" t="s">
        <v>337</v>
      </c>
      <c r="U42" s="146"/>
      <c r="V42" s="162">
        <v>37</v>
      </c>
      <c r="X42" s="150"/>
      <c r="Y42" s="145"/>
      <c r="Z42" s="145"/>
      <c r="AA42" s="145"/>
      <c r="AB42" s="145"/>
      <c r="AC42" s="145"/>
      <c r="AK42" s="60"/>
      <c r="AL42" s="77"/>
      <c r="AM42" s="77">
        <v>3</v>
      </c>
      <c r="AN42" s="43"/>
      <c r="AO42" s="77"/>
      <c r="AP42" s="77">
        <v>3</v>
      </c>
      <c r="AQ42" s="44"/>
    </row>
    <row r="43" spans="1:43" ht="18.75" customHeight="1">
      <c r="C43" s="136" t="s">
        <v>87</v>
      </c>
      <c r="D43" s="133"/>
      <c r="E43" s="133"/>
      <c r="F43" s="133"/>
      <c r="G43" s="100">
        <v>11</v>
      </c>
      <c r="K43" s="161" t="s">
        <v>286</v>
      </c>
      <c r="L43" s="145"/>
      <c r="M43" s="148"/>
      <c r="N43" s="148"/>
      <c r="O43" s="148"/>
      <c r="P43" s="149"/>
      <c r="Q43" s="162">
        <v>5</v>
      </c>
      <c r="R43" s="149"/>
      <c r="S43" s="147"/>
      <c r="T43" s="60" t="s">
        <v>338</v>
      </c>
      <c r="U43" s="146"/>
      <c r="V43" s="162">
        <v>22</v>
      </c>
      <c r="X43" s="150"/>
      <c r="Y43" s="145"/>
      <c r="Z43" s="145"/>
      <c r="AA43" s="145"/>
      <c r="AB43" s="145"/>
      <c r="AC43" s="145"/>
      <c r="AK43" s="60"/>
      <c r="AL43" s="77"/>
      <c r="AM43" s="77">
        <v>4</v>
      </c>
      <c r="AN43" s="43"/>
      <c r="AO43" s="77"/>
      <c r="AP43" s="77">
        <v>4</v>
      </c>
      <c r="AQ43" s="44">
        <v>2</v>
      </c>
    </row>
    <row r="44" spans="1:43" ht="18.75" customHeight="1">
      <c r="C44" s="132" t="s">
        <v>91</v>
      </c>
      <c r="D44" s="133"/>
      <c r="E44" s="133"/>
      <c r="F44" s="133"/>
      <c r="G44" s="101">
        <v>1</v>
      </c>
      <c r="K44" s="161" t="s">
        <v>297</v>
      </c>
      <c r="L44" s="145"/>
      <c r="M44" s="148"/>
      <c r="N44" s="148"/>
      <c r="O44" s="148"/>
      <c r="P44" s="149"/>
      <c r="Q44" s="162">
        <v>4</v>
      </c>
      <c r="R44" s="149"/>
      <c r="S44" s="150"/>
      <c r="T44" s="60" t="s">
        <v>339</v>
      </c>
      <c r="U44" s="146"/>
      <c r="V44" s="162">
        <v>22</v>
      </c>
      <c r="X44" s="150"/>
      <c r="Y44" s="145"/>
      <c r="Z44" s="145"/>
      <c r="AA44" s="145"/>
      <c r="AB44" s="145"/>
      <c r="AC44" s="145"/>
      <c r="AK44" s="60"/>
      <c r="AL44" s="77"/>
      <c r="AM44" s="77">
        <v>5</v>
      </c>
      <c r="AN44" s="43"/>
      <c r="AO44" s="77"/>
      <c r="AP44" s="77">
        <v>5</v>
      </c>
      <c r="AQ44" s="44"/>
    </row>
    <row r="45" spans="1:43" ht="18.75" customHeight="1">
      <c r="C45" s="136" t="s">
        <v>94</v>
      </c>
      <c r="D45" s="133"/>
      <c r="E45" s="133"/>
      <c r="F45" s="133"/>
      <c r="G45" s="100">
        <v>3</v>
      </c>
      <c r="K45" s="163" t="s">
        <v>310</v>
      </c>
      <c r="L45" s="145"/>
      <c r="M45" s="148"/>
      <c r="N45" s="148"/>
      <c r="O45" s="148"/>
      <c r="P45" s="149"/>
      <c r="Q45" s="162">
        <v>4</v>
      </c>
      <c r="R45" s="149"/>
      <c r="S45" s="147"/>
      <c r="T45" s="60" t="s">
        <v>340</v>
      </c>
      <c r="U45" s="146"/>
      <c r="V45" s="162">
        <v>2</v>
      </c>
      <c r="X45" s="150"/>
      <c r="Y45" s="145"/>
      <c r="Z45" s="145"/>
      <c r="AA45" s="145"/>
      <c r="AB45" s="145"/>
      <c r="AC45" s="145"/>
      <c r="AK45" s="60"/>
      <c r="AL45" s="77"/>
      <c r="AM45" s="77">
        <v>6</v>
      </c>
      <c r="AN45" s="43"/>
      <c r="AO45" s="77"/>
      <c r="AP45" s="77">
        <v>6</v>
      </c>
      <c r="AQ45" s="44"/>
    </row>
    <row r="46" spans="1:43" ht="18.75" customHeight="1">
      <c r="C46" s="132" t="s">
        <v>97</v>
      </c>
      <c r="D46" s="133"/>
      <c r="E46" s="133"/>
      <c r="F46" s="133"/>
      <c r="G46" s="101"/>
      <c r="K46" s="161" t="s">
        <v>294</v>
      </c>
      <c r="L46" s="145"/>
      <c r="M46" s="148"/>
      <c r="N46" s="148"/>
      <c r="O46" s="148"/>
      <c r="P46" s="149"/>
      <c r="Q46" s="162">
        <v>3</v>
      </c>
      <c r="R46" s="149"/>
      <c r="S46" s="150"/>
      <c r="T46" s="60" t="s">
        <v>341</v>
      </c>
      <c r="U46" s="146"/>
      <c r="V46" s="162">
        <v>3</v>
      </c>
      <c r="X46" s="150"/>
      <c r="Y46" s="145"/>
      <c r="Z46" s="145"/>
      <c r="AA46" s="145"/>
      <c r="AB46" s="145"/>
      <c r="AC46" s="145"/>
      <c r="AK46" s="60"/>
      <c r="AL46" s="77"/>
      <c r="AM46" s="77">
        <v>7</v>
      </c>
      <c r="AN46" s="43"/>
      <c r="AO46" s="77"/>
      <c r="AP46" s="77">
        <v>7</v>
      </c>
      <c r="AQ46" s="44"/>
    </row>
    <row r="47" spans="1:43" ht="18.75" customHeight="1">
      <c r="C47" s="136" t="s">
        <v>103</v>
      </c>
      <c r="D47" s="133"/>
      <c r="E47" s="133"/>
      <c r="F47" s="133"/>
      <c r="G47" s="100"/>
      <c r="K47" s="161" t="s">
        <v>304</v>
      </c>
      <c r="L47" s="145"/>
      <c r="M47" s="148"/>
      <c r="N47" s="148"/>
      <c r="O47" s="148"/>
      <c r="P47" s="149"/>
      <c r="Q47" s="162">
        <v>3</v>
      </c>
      <c r="R47" s="149"/>
      <c r="S47" s="150"/>
      <c r="T47" s="60" t="s">
        <v>342</v>
      </c>
      <c r="U47" s="146"/>
      <c r="V47" s="162">
        <v>6</v>
      </c>
      <c r="X47" s="150"/>
      <c r="Y47" s="145"/>
      <c r="Z47" s="145"/>
      <c r="AA47" s="145"/>
      <c r="AB47" s="145"/>
      <c r="AC47" s="145"/>
      <c r="AK47" s="60"/>
      <c r="AL47" s="77"/>
      <c r="AM47" s="77">
        <v>8</v>
      </c>
      <c r="AN47" s="43"/>
      <c r="AO47" s="77"/>
      <c r="AP47" s="77">
        <v>8</v>
      </c>
      <c r="AQ47" s="44"/>
    </row>
    <row r="48" spans="1:43" ht="18.75" customHeight="1">
      <c r="C48" s="132" t="s">
        <v>106</v>
      </c>
      <c r="D48" s="133"/>
      <c r="E48" s="133"/>
      <c r="F48" s="133"/>
      <c r="G48" s="101"/>
      <c r="K48" s="161" t="s">
        <v>319</v>
      </c>
      <c r="L48" s="145"/>
      <c r="M48" s="148"/>
      <c r="N48" s="148"/>
      <c r="O48" s="148"/>
      <c r="P48" s="149"/>
      <c r="Q48" s="162">
        <v>3</v>
      </c>
      <c r="R48" s="149"/>
      <c r="S48" s="150"/>
      <c r="T48" s="60" t="s">
        <v>343</v>
      </c>
      <c r="U48" s="146"/>
      <c r="V48" s="162">
        <v>4</v>
      </c>
      <c r="X48" s="150"/>
      <c r="Y48" s="145"/>
      <c r="Z48" s="145"/>
      <c r="AA48" s="145"/>
      <c r="AB48" s="145"/>
      <c r="AC48" s="145"/>
      <c r="AK48" s="60"/>
      <c r="AL48" s="77"/>
      <c r="AM48" s="77">
        <v>9</v>
      </c>
      <c r="AN48" s="43"/>
      <c r="AO48" s="77"/>
      <c r="AP48" s="77">
        <v>9</v>
      </c>
      <c r="AQ48" s="44"/>
    </row>
    <row r="49" spans="3:43" ht="18.75" customHeight="1">
      <c r="C49" s="136" t="s">
        <v>109</v>
      </c>
      <c r="D49" s="133"/>
      <c r="E49" s="133"/>
      <c r="F49" s="133"/>
      <c r="G49" s="100"/>
      <c r="K49" s="161" t="s">
        <v>323</v>
      </c>
      <c r="L49" s="145"/>
      <c r="M49" s="150"/>
      <c r="N49" s="150"/>
      <c r="O49" s="150"/>
      <c r="P49" s="149"/>
      <c r="Q49" s="162">
        <v>3</v>
      </c>
      <c r="R49" s="149"/>
      <c r="S49" s="150"/>
      <c r="T49" s="60" t="s">
        <v>344</v>
      </c>
      <c r="U49" s="146"/>
      <c r="V49" s="162">
        <v>1</v>
      </c>
      <c r="X49" s="150"/>
      <c r="Y49" s="145"/>
      <c r="Z49" s="145"/>
      <c r="AA49" s="145"/>
      <c r="AB49" s="145"/>
      <c r="AC49" s="145"/>
      <c r="AK49" s="60"/>
      <c r="AL49" s="77"/>
      <c r="AM49" s="77">
        <v>10</v>
      </c>
      <c r="AN49" s="43"/>
      <c r="AO49" s="77"/>
      <c r="AP49" s="77">
        <v>10</v>
      </c>
      <c r="AQ49" s="44"/>
    </row>
    <row r="50" spans="3:43" ht="18.75" customHeight="1">
      <c r="C50" s="132" t="s">
        <v>112</v>
      </c>
      <c r="D50" s="133"/>
      <c r="E50" s="133"/>
      <c r="F50" s="133"/>
      <c r="G50" s="101"/>
      <c r="K50" s="161" t="s">
        <v>354</v>
      </c>
      <c r="L50" s="145"/>
      <c r="M50" s="150"/>
      <c r="N50" s="150"/>
      <c r="O50" s="150"/>
      <c r="P50" s="149"/>
      <c r="Q50" s="162">
        <v>3</v>
      </c>
      <c r="R50" s="149"/>
      <c r="S50" s="150"/>
      <c r="T50" s="60" t="s">
        <v>345</v>
      </c>
      <c r="U50" s="146"/>
      <c r="V50" s="162">
        <v>11</v>
      </c>
      <c r="X50" s="150"/>
      <c r="Y50" s="145"/>
      <c r="Z50" s="145"/>
      <c r="AA50" s="145"/>
      <c r="AB50" s="145"/>
      <c r="AC50" s="145"/>
      <c r="AK50" s="60"/>
      <c r="AL50" s="77"/>
      <c r="AM50" s="77">
        <v>11</v>
      </c>
      <c r="AN50" s="43"/>
      <c r="AO50" s="77"/>
      <c r="AP50" s="77">
        <v>11</v>
      </c>
      <c r="AQ50" s="44"/>
    </row>
    <row r="51" spans="3:43" ht="18.75" customHeight="1">
      <c r="C51" s="136" t="s">
        <v>115</v>
      </c>
      <c r="D51" s="133"/>
      <c r="E51" s="133"/>
      <c r="F51" s="133"/>
      <c r="G51" s="100"/>
      <c r="K51" s="163" t="s">
        <v>300</v>
      </c>
      <c r="L51" s="145"/>
      <c r="M51" s="148"/>
      <c r="N51" s="148"/>
      <c r="O51" s="148"/>
      <c r="P51" s="149"/>
      <c r="Q51" s="162">
        <v>2</v>
      </c>
      <c r="R51" s="149"/>
      <c r="S51" s="147"/>
      <c r="T51" s="60" t="s">
        <v>346</v>
      </c>
      <c r="U51" s="146"/>
      <c r="V51" s="162">
        <v>3</v>
      </c>
      <c r="X51" s="150"/>
      <c r="Y51" s="145"/>
      <c r="Z51" s="145"/>
      <c r="AA51" s="145"/>
      <c r="AB51" s="145"/>
      <c r="AC51" s="145"/>
      <c r="AK51" s="60"/>
      <c r="AL51" s="77"/>
      <c r="AM51" s="77">
        <v>12</v>
      </c>
      <c r="AN51" s="43"/>
      <c r="AO51" s="77"/>
      <c r="AP51" s="77">
        <v>12</v>
      </c>
      <c r="AQ51" s="44"/>
    </row>
    <row r="52" spans="3:43" ht="18.75" customHeight="1">
      <c r="C52" s="132" t="s">
        <v>118</v>
      </c>
      <c r="D52" s="133"/>
      <c r="E52" s="133"/>
      <c r="F52" s="133"/>
      <c r="G52" s="101"/>
      <c r="K52" s="161" t="s">
        <v>311</v>
      </c>
      <c r="L52" s="145"/>
      <c r="M52" s="148"/>
      <c r="N52" s="148"/>
      <c r="O52" s="148"/>
      <c r="P52" s="149"/>
      <c r="Q52" s="162">
        <v>2</v>
      </c>
      <c r="R52" s="149"/>
      <c r="S52" s="150"/>
      <c r="T52" s="60" t="s">
        <v>347</v>
      </c>
      <c r="U52" s="146"/>
      <c r="V52" s="162">
        <v>3</v>
      </c>
      <c r="X52" s="150"/>
      <c r="Y52" s="145"/>
      <c r="Z52" s="145"/>
      <c r="AA52" s="145"/>
      <c r="AB52" s="145"/>
      <c r="AC52" s="145"/>
      <c r="AK52" s="60"/>
      <c r="AL52" s="77"/>
      <c r="AM52" s="77">
        <v>13</v>
      </c>
      <c r="AN52" s="43"/>
      <c r="AO52" s="77"/>
      <c r="AP52" s="77">
        <v>13</v>
      </c>
      <c r="AQ52" s="44"/>
    </row>
    <row r="53" spans="3:43" ht="18.75" customHeight="1">
      <c r="C53" s="134" t="s">
        <v>100</v>
      </c>
      <c r="D53" s="135"/>
      <c r="E53" s="135"/>
      <c r="F53" s="135"/>
      <c r="G53" s="102">
        <v>3</v>
      </c>
      <c r="K53" s="163" t="s">
        <v>315</v>
      </c>
      <c r="L53" s="145"/>
      <c r="M53" s="148"/>
      <c r="N53" s="148"/>
      <c r="O53" s="148"/>
      <c r="P53" s="149"/>
      <c r="Q53" s="162">
        <v>2</v>
      </c>
      <c r="R53" s="149"/>
      <c r="S53" s="150"/>
      <c r="T53" s="60" t="s">
        <v>348</v>
      </c>
      <c r="U53" s="146"/>
      <c r="V53" s="162">
        <v>8</v>
      </c>
      <c r="X53" s="150"/>
      <c r="Y53" s="145"/>
      <c r="Z53" s="145"/>
      <c r="AA53" s="145"/>
      <c r="AB53" s="145"/>
      <c r="AC53" s="145"/>
      <c r="AK53" s="60"/>
      <c r="AL53" s="77"/>
      <c r="AM53" s="77">
        <v>14</v>
      </c>
      <c r="AN53" s="43"/>
      <c r="AO53" s="77"/>
      <c r="AP53" s="77">
        <v>14</v>
      </c>
      <c r="AQ53" s="44"/>
    </row>
    <row r="54" spans="3:43" ht="18.75" customHeight="1">
      <c r="K54" s="161" t="s">
        <v>316</v>
      </c>
      <c r="L54" s="145"/>
      <c r="M54" s="148"/>
      <c r="N54" s="148"/>
      <c r="O54" s="148"/>
      <c r="P54" s="149"/>
      <c r="Q54" s="162">
        <v>2</v>
      </c>
      <c r="R54" s="149"/>
      <c r="S54" s="147"/>
      <c r="T54" s="60" t="s">
        <v>349</v>
      </c>
      <c r="U54" s="146"/>
      <c r="V54" s="162">
        <v>2</v>
      </c>
      <c r="X54" s="150"/>
      <c r="Y54" s="145"/>
      <c r="Z54" s="145"/>
      <c r="AA54" s="145"/>
      <c r="AB54" s="145"/>
      <c r="AC54" s="145"/>
      <c r="AK54" s="60"/>
      <c r="AL54" s="77"/>
      <c r="AM54" s="77">
        <v>15</v>
      </c>
      <c r="AN54" s="43"/>
      <c r="AO54" s="77"/>
      <c r="AP54" s="77">
        <v>15</v>
      </c>
      <c r="AQ54" s="44"/>
    </row>
    <row r="55" spans="3:43" ht="18.75" customHeight="1">
      <c r="K55" s="163" t="s">
        <v>327</v>
      </c>
      <c r="L55" s="145"/>
      <c r="M55" s="150"/>
      <c r="N55" s="150"/>
      <c r="O55" s="150"/>
      <c r="P55" s="149"/>
      <c r="Q55" s="162">
        <v>2</v>
      </c>
      <c r="R55" s="149"/>
      <c r="S55" s="150"/>
      <c r="T55" s="60" t="s">
        <v>350</v>
      </c>
      <c r="U55" s="146"/>
      <c r="V55" s="162">
        <v>1</v>
      </c>
      <c r="X55" s="150"/>
      <c r="Y55" s="145"/>
      <c r="Z55" s="145"/>
      <c r="AA55" s="145"/>
      <c r="AB55" s="145"/>
      <c r="AC55" s="145"/>
      <c r="AK55" s="60"/>
      <c r="AL55" s="77"/>
      <c r="AM55" s="77">
        <v>16</v>
      </c>
      <c r="AN55" s="43"/>
      <c r="AO55" s="77"/>
      <c r="AP55" s="77">
        <v>16</v>
      </c>
      <c r="AQ55" s="44"/>
    </row>
    <row r="56" spans="3:43" ht="18.75" customHeight="1">
      <c r="K56" s="161" t="s">
        <v>278</v>
      </c>
      <c r="L56" s="145"/>
      <c r="M56" s="150"/>
      <c r="N56" s="150"/>
      <c r="O56" s="150"/>
      <c r="P56" s="149"/>
      <c r="Q56" s="162">
        <v>2</v>
      </c>
      <c r="R56" s="149"/>
      <c r="S56" s="147"/>
      <c r="T56" s="60" t="s">
        <v>351</v>
      </c>
      <c r="U56" s="146"/>
      <c r="V56" s="162">
        <v>2</v>
      </c>
      <c r="X56" s="150"/>
      <c r="Y56" s="145"/>
      <c r="Z56" s="145"/>
      <c r="AA56" s="145"/>
      <c r="AB56" s="145"/>
      <c r="AC56" s="145"/>
      <c r="AK56" s="60"/>
      <c r="AL56" s="77"/>
      <c r="AM56" s="77">
        <v>17</v>
      </c>
      <c r="AN56" s="43"/>
      <c r="AO56" s="77"/>
      <c r="AP56" s="77">
        <v>17</v>
      </c>
      <c r="AQ56" s="44"/>
    </row>
    <row r="57" spans="3:43" ht="18.75" customHeight="1">
      <c r="K57" s="163" t="s">
        <v>293</v>
      </c>
      <c r="L57" s="145"/>
      <c r="M57" s="148"/>
      <c r="N57" s="148"/>
      <c r="O57" s="148"/>
      <c r="P57" s="149"/>
      <c r="Q57" s="162">
        <v>1</v>
      </c>
      <c r="R57" s="149"/>
      <c r="S57" s="150"/>
      <c r="T57" s="60" t="s">
        <v>352</v>
      </c>
      <c r="U57" s="146"/>
      <c r="V57" s="162">
        <v>2</v>
      </c>
      <c r="X57" s="150"/>
      <c r="Y57" s="145"/>
      <c r="Z57" s="145"/>
      <c r="AA57" s="145"/>
      <c r="AB57" s="145"/>
      <c r="AC57" s="145"/>
      <c r="AK57" s="60"/>
      <c r="AL57" s="77"/>
      <c r="AM57" s="77">
        <v>18</v>
      </c>
      <c r="AN57" s="43"/>
      <c r="AO57" s="77"/>
      <c r="AP57" s="77">
        <v>18</v>
      </c>
      <c r="AQ57" s="44"/>
    </row>
    <row r="58" spans="3:43" ht="18.75" customHeight="1" thickBot="1">
      <c r="K58" s="161" t="s">
        <v>219</v>
      </c>
      <c r="L58" s="145"/>
      <c r="M58" s="148"/>
      <c r="N58" s="148"/>
      <c r="O58" s="148"/>
      <c r="P58" s="149"/>
      <c r="Q58" s="162">
        <v>1</v>
      </c>
      <c r="R58" s="149"/>
      <c r="S58" s="150"/>
      <c r="T58" s="45" t="s">
        <v>353</v>
      </c>
      <c r="U58" s="42"/>
      <c r="V58" s="167">
        <v>1</v>
      </c>
      <c r="X58" s="150"/>
      <c r="Y58" s="145"/>
      <c r="Z58" s="145"/>
      <c r="AA58" s="145"/>
      <c r="AB58" s="145"/>
      <c r="AC58" s="145"/>
      <c r="AK58" s="60"/>
      <c r="AL58" s="77"/>
      <c r="AM58" s="77">
        <v>19</v>
      </c>
      <c r="AN58" s="43"/>
      <c r="AO58" s="77"/>
      <c r="AP58" s="77">
        <v>19</v>
      </c>
      <c r="AQ58" s="44"/>
    </row>
    <row r="59" spans="3:43" ht="18.75" customHeight="1">
      <c r="K59" s="161" t="s">
        <v>298</v>
      </c>
      <c r="L59" s="145"/>
      <c r="M59" s="148"/>
      <c r="N59" s="148"/>
      <c r="O59" s="148"/>
      <c r="P59" s="149"/>
      <c r="Q59" s="162">
        <v>1</v>
      </c>
      <c r="R59" s="149"/>
      <c r="S59" s="150"/>
      <c r="T59" s="146"/>
      <c r="U59" s="146"/>
      <c r="V59" s="168"/>
      <c r="W59" s="150"/>
      <c r="X59" s="150"/>
      <c r="Y59" s="145"/>
      <c r="Z59" s="145"/>
      <c r="AA59" s="145"/>
      <c r="AB59" s="145"/>
      <c r="AC59" s="145"/>
      <c r="AK59" s="60"/>
      <c r="AL59" s="77"/>
      <c r="AM59" s="77">
        <v>20</v>
      </c>
      <c r="AN59" s="43"/>
      <c r="AO59" s="77"/>
      <c r="AP59" s="77">
        <v>20</v>
      </c>
      <c r="AQ59" s="44"/>
    </row>
    <row r="60" spans="3:43" ht="18.75" customHeight="1">
      <c r="K60" s="161" t="s">
        <v>299</v>
      </c>
      <c r="L60" s="145"/>
      <c r="M60" s="148"/>
      <c r="N60" s="148"/>
      <c r="O60" s="148"/>
      <c r="P60" s="149"/>
      <c r="Q60" s="162">
        <v>1</v>
      </c>
      <c r="R60" s="149"/>
      <c r="S60" s="147"/>
      <c r="T60" s="146"/>
      <c r="U60" s="146"/>
      <c r="V60" s="150"/>
      <c r="W60" s="150"/>
      <c r="X60" s="150"/>
      <c r="Y60" s="145"/>
      <c r="Z60" s="145"/>
      <c r="AA60" s="145"/>
      <c r="AB60" s="145"/>
      <c r="AC60" s="145"/>
      <c r="AK60" s="60"/>
      <c r="AL60" s="77"/>
      <c r="AM60" s="77">
        <v>21</v>
      </c>
      <c r="AN60" s="43"/>
      <c r="AO60" s="77"/>
      <c r="AP60" s="77">
        <v>21</v>
      </c>
      <c r="AQ60" s="44"/>
    </row>
    <row r="61" spans="3:43" ht="18.75" customHeight="1">
      <c r="K61" s="161" t="s">
        <v>301</v>
      </c>
      <c r="L61" s="145"/>
      <c r="M61" s="148"/>
      <c r="N61" s="148"/>
      <c r="O61" s="148"/>
      <c r="P61" s="149"/>
      <c r="Q61" s="162">
        <v>1</v>
      </c>
      <c r="R61" s="149"/>
      <c r="S61" s="150"/>
      <c r="T61" s="146"/>
      <c r="U61" s="146"/>
      <c r="V61" s="168"/>
      <c r="W61" s="150"/>
      <c r="X61" s="150"/>
      <c r="Y61" s="145"/>
      <c r="Z61" s="145"/>
      <c r="AA61" s="145"/>
      <c r="AB61" s="145"/>
      <c r="AC61" s="145"/>
      <c r="AK61" s="60"/>
      <c r="AL61" s="77"/>
      <c r="AM61" s="77">
        <v>22</v>
      </c>
      <c r="AN61" s="43"/>
      <c r="AO61" s="77"/>
      <c r="AP61" s="77">
        <v>22</v>
      </c>
      <c r="AQ61" s="44"/>
    </row>
    <row r="62" spans="3:43" ht="18.75" customHeight="1">
      <c r="K62" s="161" t="s">
        <v>303</v>
      </c>
      <c r="L62" s="145"/>
      <c r="M62" s="148"/>
      <c r="N62" s="148"/>
      <c r="O62" s="148"/>
      <c r="P62" s="149"/>
      <c r="Q62" s="162">
        <v>1</v>
      </c>
      <c r="R62" s="149"/>
      <c r="S62" s="150"/>
      <c r="T62" s="146"/>
      <c r="U62" s="146"/>
      <c r="V62" s="150"/>
      <c r="W62" s="150"/>
      <c r="X62" s="150"/>
      <c r="Y62" s="145"/>
      <c r="Z62" s="145"/>
      <c r="AA62" s="145"/>
      <c r="AB62" s="145"/>
      <c r="AC62" s="145"/>
      <c r="AK62" s="60"/>
      <c r="AL62" s="77"/>
      <c r="AM62" s="77">
        <v>23</v>
      </c>
      <c r="AN62" s="43"/>
      <c r="AO62" s="77"/>
      <c r="AP62" s="77">
        <v>23</v>
      </c>
      <c r="AQ62" s="44"/>
    </row>
    <row r="63" spans="3:43" ht="19.5" customHeight="1">
      <c r="K63" s="161" t="s">
        <v>305</v>
      </c>
      <c r="L63" s="145"/>
      <c r="M63" s="148"/>
      <c r="N63" s="148"/>
      <c r="O63" s="148"/>
      <c r="P63" s="149"/>
      <c r="Q63" s="162">
        <v>1</v>
      </c>
      <c r="R63" s="149"/>
      <c r="S63" s="147"/>
      <c r="T63" s="146"/>
      <c r="U63" s="146"/>
      <c r="V63" s="150"/>
      <c r="W63" s="150"/>
      <c r="X63" s="150"/>
      <c r="Y63" s="145"/>
      <c r="Z63" s="145"/>
      <c r="AA63" s="145"/>
      <c r="AB63" s="145"/>
      <c r="AC63" s="145"/>
      <c r="AK63" s="60"/>
      <c r="AL63" s="77"/>
      <c r="AM63" s="77">
        <v>24</v>
      </c>
      <c r="AN63" s="43"/>
      <c r="AO63" s="77"/>
      <c r="AP63" s="77">
        <v>24</v>
      </c>
      <c r="AQ63" s="44"/>
    </row>
    <row r="64" spans="3:43" ht="18.75" customHeight="1">
      <c r="K64" s="161" t="s">
        <v>306</v>
      </c>
      <c r="L64" s="145"/>
      <c r="M64" s="148"/>
      <c r="N64" s="148"/>
      <c r="O64" s="148"/>
      <c r="P64" s="149"/>
      <c r="Q64" s="162">
        <v>1</v>
      </c>
      <c r="R64" s="149"/>
      <c r="S64" s="150"/>
      <c r="T64" s="150"/>
      <c r="U64" s="150"/>
      <c r="V64" s="150"/>
      <c r="W64" s="149"/>
      <c r="X64" s="150"/>
      <c r="Y64" s="145"/>
      <c r="Z64" s="145"/>
      <c r="AA64" s="145"/>
      <c r="AB64" s="145"/>
      <c r="AC64" s="145"/>
      <c r="AK64" s="60"/>
      <c r="AL64" s="77"/>
      <c r="AM64" s="77">
        <v>25</v>
      </c>
      <c r="AN64" s="43"/>
      <c r="AO64" s="77"/>
      <c r="AP64" s="77">
        <v>25</v>
      </c>
      <c r="AQ64" s="44"/>
    </row>
    <row r="65" spans="11:43" ht="18.75" customHeight="1">
      <c r="K65" s="163" t="s">
        <v>307</v>
      </c>
      <c r="L65" s="145"/>
      <c r="M65" s="148"/>
      <c r="N65" s="148"/>
      <c r="O65" s="148"/>
      <c r="P65" s="149"/>
      <c r="Q65" s="162">
        <v>1</v>
      </c>
      <c r="R65" s="149"/>
      <c r="S65" s="150"/>
      <c r="T65" s="150"/>
      <c r="U65" s="150"/>
      <c r="V65" s="150"/>
      <c r="W65" s="149"/>
      <c r="X65" s="150"/>
      <c r="Y65" s="145"/>
      <c r="Z65" s="145"/>
      <c r="AA65" s="145"/>
      <c r="AB65" s="145"/>
      <c r="AC65" s="145"/>
      <c r="AK65" s="60"/>
      <c r="AL65" s="77"/>
      <c r="AM65" s="77">
        <v>26</v>
      </c>
      <c r="AN65" s="43"/>
      <c r="AO65" s="77"/>
      <c r="AP65" s="77">
        <v>26</v>
      </c>
      <c r="AQ65" s="44"/>
    </row>
    <row r="66" spans="11:43" ht="18.75" customHeight="1">
      <c r="K66" s="161" t="s">
        <v>308</v>
      </c>
      <c r="L66" s="145"/>
      <c r="M66" s="148"/>
      <c r="N66" s="148"/>
      <c r="O66" s="148"/>
      <c r="P66" s="149"/>
      <c r="Q66" s="162">
        <v>1</v>
      </c>
      <c r="R66" s="149"/>
      <c r="S66" s="150"/>
      <c r="T66" s="150"/>
      <c r="U66" s="150"/>
      <c r="V66" s="150"/>
      <c r="W66" s="149"/>
      <c r="X66" s="150"/>
      <c r="Y66" s="145"/>
      <c r="Z66" s="145"/>
      <c r="AA66" s="145"/>
      <c r="AB66" s="145"/>
      <c r="AC66" s="145"/>
      <c r="AK66" s="60"/>
      <c r="AL66" s="77"/>
      <c r="AM66" s="77">
        <v>27</v>
      </c>
      <c r="AN66" s="43"/>
      <c r="AO66" s="77"/>
      <c r="AP66" s="77">
        <v>27</v>
      </c>
      <c r="AQ66" s="44"/>
    </row>
    <row r="67" spans="11:43" ht="18.75" customHeight="1">
      <c r="K67" s="163" t="s">
        <v>309</v>
      </c>
      <c r="L67" s="145"/>
      <c r="M67" s="148"/>
      <c r="N67" s="148"/>
      <c r="O67" s="148"/>
      <c r="P67" s="149"/>
      <c r="Q67" s="162">
        <v>1</v>
      </c>
      <c r="R67" s="149"/>
      <c r="S67" s="147"/>
      <c r="T67" s="150"/>
      <c r="U67" s="150"/>
      <c r="V67" s="150"/>
      <c r="W67" s="149"/>
      <c r="X67" s="150"/>
      <c r="AK67" s="60"/>
      <c r="AL67" s="77"/>
      <c r="AM67" s="77">
        <v>28</v>
      </c>
      <c r="AN67" s="43"/>
      <c r="AO67" s="77"/>
      <c r="AP67" s="77">
        <v>28</v>
      </c>
      <c r="AQ67" s="44"/>
    </row>
    <row r="68" spans="11:43" ht="18.75" customHeight="1">
      <c r="K68" s="161" t="s">
        <v>279</v>
      </c>
      <c r="L68" s="145"/>
      <c r="M68" s="148"/>
      <c r="N68" s="148"/>
      <c r="O68" s="148"/>
      <c r="P68" s="149"/>
      <c r="Q68" s="162">
        <v>1</v>
      </c>
      <c r="R68" s="149"/>
      <c r="S68" s="147"/>
      <c r="T68" s="150"/>
      <c r="U68" s="150"/>
      <c r="V68" s="150"/>
      <c r="W68" s="149"/>
      <c r="X68" s="150"/>
      <c r="AK68" s="60"/>
      <c r="AL68" s="77"/>
      <c r="AM68" s="77">
        <v>29</v>
      </c>
      <c r="AN68" s="43"/>
      <c r="AO68" s="77"/>
      <c r="AP68" s="77">
        <v>29</v>
      </c>
      <c r="AQ68" s="44"/>
    </row>
    <row r="69" spans="11:43" ht="18.75" customHeight="1">
      <c r="K69" s="163" t="s">
        <v>312</v>
      </c>
      <c r="L69" s="145"/>
      <c r="M69" s="148"/>
      <c r="N69" s="148"/>
      <c r="O69" s="148"/>
      <c r="P69" s="149"/>
      <c r="Q69" s="162">
        <v>1</v>
      </c>
      <c r="R69" s="149"/>
      <c r="S69" s="150"/>
      <c r="T69" s="150"/>
      <c r="U69" s="150"/>
      <c r="V69" s="150"/>
      <c r="W69" s="149"/>
      <c r="X69" s="150"/>
      <c r="AK69" s="60"/>
      <c r="AL69" s="77"/>
      <c r="AM69" s="77">
        <v>30</v>
      </c>
      <c r="AN69" s="43"/>
      <c r="AO69" s="77"/>
      <c r="AP69" s="77">
        <v>30</v>
      </c>
      <c r="AQ69" s="44"/>
    </row>
    <row r="70" spans="11:43" ht="18.75" customHeight="1">
      <c r="K70" s="161" t="s">
        <v>313</v>
      </c>
      <c r="L70" s="145"/>
      <c r="M70" s="148"/>
      <c r="N70" s="148"/>
      <c r="O70" s="148"/>
      <c r="P70" s="149"/>
      <c r="Q70" s="162">
        <v>1</v>
      </c>
      <c r="R70" s="149"/>
      <c r="S70" s="150"/>
      <c r="T70" s="150"/>
      <c r="U70" s="150"/>
      <c r="V70" s="150"/>
      <c r="W70" s="149"/>
      <c r="X70" s="150"/>
      <c r="AK70" s="60"/>
      <c r="AL70" s="77"/>
      <c r="AM70" s="77">
        <v>31</v>
      </c>
      <c r="AN70" s="43"/>
      <c r="AO70" s="77"/>
      <c r="AP70" s="77">
        <v>31</v>
      </c>
      <c r="AQ70" s="44"/>
    </row>
    <row r="71" spans="11:43" ht="19.5" customHeight="1" thickBot="1">
      <c r="K71" s="161" t="s">
        <v>314</v>
      </c>
      <c r="L71" s="145"/>
      <c r="M71" s="148"/>
      <c r="N71" s="148"/>
      <c r="O71" s="148"/>
      <c r="P71" s="149"/>
      <c r="Q71" s="162">
        <v>1</v>
      </c>
      <c r="R71" s="149"/>
      <c r="S71" s="150"/>
      <c r="T71" s="150"/>
      <c r="U71" s="150"/>
      <c r="V71" s="150"/>
      <c r="W71" s="149"/>
      <c r="X71" s="150"/>
      <c r="AK71" s="45"/>
      <c r="AL71" s="42"/>
      <c r="AM71" s="42" t="s">
        <v>47</v>
      </c>
      <c r="AN71" s="66">
        <f>SUM(AN40:AN69)</f>
        <v>1</v>
      </c>
      <c r="AO71" s="42"/>
      <c r="AP71" s="42" t="s">
        <v>47</v>
      </c>
      <c r="AQ71" s="67">
        <f>SUM(AQ40:AQ69)</f>
        <v>3</v>
      </c>
    </row>
    <row r="72" spans="11:43" ht="18.75" customHeight="1">
      <c r="K72" s="163" t="s">
        <v>317</v>
      </c>
      <c r="L72" s="145"/>
      <c r="M72" s="148"/>
      <c r="N72" s="148"/>
      <c r="O72" s="148"/>
      <c r="P72" s="149"/>
      <c r="Q72" s="162">
        <v>1</v>
      </c>
      <c r="R72" s="149"/>
      <c r="S72" s="150"/>
      <c r="T72" s="150"/>
      <c r="U72" s="150"/>
      <c r="V72" s="150"/>
      <c r="W72" s="149"/>
      <c r="X72" s="150"/>
    </row>
    <row r="73" spans="11:43" ht="18.75" customHeight="1">
      <c r="K73" s="161" t="s">
        <v>318</v>
      </c>
      <c r="L73" s="145"/>
      <c r="M73" s="148"/>
      <c r="N73" s="148"/>
      <c r="O73" s="148"/>
      <c r="P73" s="149"/>
      <c r="Q73" s="162">
        <v>1</v>
      </c>
      <c r="R73" s="149"/>
      <c r="S73" s="150"/>
      <c r="T73" s="150"/>
      <c r="U73" s="150"/>
      <c r="V73" s="150"/>
      <c r="W73" s="149"/>
      <c r="X73" s="150"/>
    </row>
    <row r="74" spans="11:43" ht="18.75" customHeight="1">
      <c r="K74" s="161" t="s">
        <v>320</v>
      </c>
      <c r="L74" s="145"/>
      <c r="M74" s="148"/>
      <c r="N74" s="148"/>
      <c r="O74" s="148"/>
      <c r="P74" s="149"/>
      <c r="Q74" s="162">
        <v>1</v>
      </c>
      <c r="R74" s="149"/>
      <c r="S74" s="150"/>
      <c r="T74" s="150"/>
      <c r="U74" s="150"/>
      <c r="V74" s="150"/>
      <c r="W74" s="149"/>
      <c r="X74" s="150"/>
    </row>
    <row r="75" spans="11:43" ht="18.75" customHeight="1">
      <c r="K75" s="161" t="s">
        <v>321</v>
      </c>
      <c r="L75" s="145"/>
      <c r="M75" s="148"/>
      <c r="N75" s="148"/>
      <c r="O75" s="148"/>
      <c r="P75" s="149"/>
      <c r="Q75" s="162">
        <v>1</v>
      </c>
      <c r="R75" s="149"/>
      <c r="S75" s="147"/>
      <c r="T75" s="150"/>
      <c r="U75" s="150"/>
      <c r="V75" s="150"/>
      <c r="W75" s="149"/>
      <c r="X75" s="150"/>
    </row>
    <row r="76" spans="11:43" ht="18.75" customHeight="1">
      <c r="K76" s="161" t="s">
        <v>322</v>
      </c>
      <c r="L76" s="145"/>
      <c r="M76" s="150"/>
      <c r="N76" s="150"/>
      <c r="O76" s="150"/>
      <c r="P76" s="149"/>
      <c r="Q76" s="162">
        <v>1</v>
      </c>
      <c r="R76" s="149"/>
      <c r="S76" s="150"/>
      <c r="T76" s="150"/>
      <c r="U76" s="150"/>
      <c r="V76" s="150"/>
      <c r="W76" s="149"/>
      <c r="X76" s="150"/>
    </row>
    <row r="77" spans="11:43" ht="18.75" customHeight="1">
      <c r="K77" s="163" t="s">
        <v>324</v>
      </c>
      <c r="L77" s="145"/>
      <c r="M77" s="150"/>
      <c r="N77" s="150"/>
      <c r="O77" s="150"/>
      <c r="P77" s="149"/>
      <c r="Q77" s="162">
        <v>1</v>
      </c>
      <c r="R77" s="149"/>
      <c r="S77" s="150"/>
      <c r="T77" s="150"/>
      <c r="U77" s="150"/>
      <c r="V77" s="150"/>
      <c r="W77" s="149"/>
      <c r="X77" s="150"/>
    </row>
    <row r="78" spans="11:43" ht="18.75" customHeight="1">
      <c r="K78" s="161" t="s">
        <v>284</v>
      </c>
      <c r="L78" s="145"/>
      <c r="M78" s="150"/>
      <c r="N78" s="150"/>
      <c r="O78" s="150"/>
      <c r="P78" s="149"/>
      <c r="Q78" s="162">
        <v>1</v>
      </c>
      <c r="R78" s="149"/>
      <c r="S78" s="150"/>
      <c r="T78" s="150"/>
      <c r="U78" s="150"/>
      <c r="V78" s="150"/>
      <c r="W78" s="149"/>
      <c r="X78" s="150"/>
    </row>
    <row r="79" spans="11:43" ht="18.75" customHeight="1">
      <c r="K79" s="161" t="s">
        <v>325</v>
      </c>
      <c r="L79" s="145"/>
      <c r="M79" s="150"/>
      <c r="N79" s="150"/>
      <c r="O79" s="150"/>
      <c r="P79" s="149"/>
      <c r="Q79" s="162">
        <v>1</v>
      </c>
      <c r="R79" s="149"/>
      <c r="S79" s="147"/>
      <c r="T79" s="150"/>
      <c r="U79" s="150"/>
      <c r="V79" s="150"/>
      <c r="W79" s="149"/>
      <c r="X79" s="150"/>
    </row>
    <row r="80" spans="11:43" ht="18.75" customHeight="1">
      <c r="K80" s="161" t="s">
        <v>326</v>
      </c>
      <c r="L80" s="145"/>
      <c r="M80" s="150"/>
      <c r="N80" s="150"/>
      <c r="O80" s="150"/>
      <c r="P80" s="149"/>
      <c r="Q80" s="162">
        <v>1</v>
      </c>
      <c r="R80" s="149"/>
      <c r="S80" s="150"/>
      <c r="T80" s="150"/>
      <c r="U80" s="150"/>
      <c r="V80" s="150"/>
      <c r="W80" s="149"/>
      <c r="X80" s="150"/>
    </row>
    <row r="81" spans="11:24" ht="18.75" customHeight="1">
      <c r="K81" s="161" t="s">
        <v>328</v>
      </c>
      <c r="L81" s="145"/>
      <c r="M81" s="150"/>
      <c r="N81" s="150"/>
      <c r="O81" s="150"/>
      <c r="P81" s="149"/>
      <c r="Q81" s="162">
        <v>1</v>
      </c>
      <c r="R81" s="149"/>
      <c r="S81" s="147"/>
      <c r="T81" s="150"/>
      <c r="U81" s="150"/>
      <c r="V81" s="150"/>
      <c r="W81" s="149"/>
      <c r="X81" s="150"/>
    </row>
    <row r="82" spans="11:24" ht="18.75" customHeight="1">
      <c r="K82" s="161" t="s">
        <v>329</v>
      </c>
      <c r="L82" s="145"/>
      <c r="M82" s="150"/>
      <c r="N82" s="150"/>
      <c r="O82" s="150"/>
      <c r="P82" s="149"/>
      <c r="Q82" s="162">
        <v>1</v>
      </c>
      <c r="R82" s="149"/>
      <c r="S82" s="150"/>
      <c r="T82" s="150"/>
      <c r="U82" s="150"/>
      <c r="V82" s="150"/>
      <c r="W82" s="149"/>
      <c r="X82" s="150"/>
    </row>
    <row r="83" spans="11:24" ht="18.75" customHeight="1">
      <c r="K83" s="161" t="s">
        <v>330</v>
      </c>
      <c r="L83" s="145"/>
      <c r="M83" s="150"/>
      <c r="N83" s="150"/>
      <c r="O83" s="150"/>
      <c r="P83" s="149"/>
      <c r="Q83" s="162">
        <v>1</v>
      </c>
      <c r="R83" s="149"/>
      <c r="S83" s="150"/>
      <c r="T83" s="150"/>
      <c r="U83" s="150"/>
      <c r="V83" s="150"/>
      <c r="W83" s="149"/>
      <c r="X83" s="150"/>
    </row>
    <row r="84" spans="11:24" ht="18.75" customHeight="1">
      <c r="K84" s="161" t="s">
        <v>331</v>
      </c>
      <c r="L84" s="145"/>
      <c r="M84" s="150"/>
      <c r="N84" s="150"/>
      <c r="O84" s="150"/>
      <c r="P84" s="149"/>
      <c r="Q84" s="162">
        <v>1</v>
      </c>
      <c r="R84" s="149"/>
      <c r="S84" s="150"/>
      <c r="T84" s="150"/>
      <c r="U84" s="150"/>
      <c r="V84" s="150"/>
      <c r="W84" s="149"/>
      <c r="X84" s="150"/>
    </row>
    <row r="85" spans="11:24" ht="18.75" customHeight="1">
      <c r="K85" s="161" t="s">
        <v>332</v>
      </c>
      <c r="L85" s="145"/>
      <c r="M85" s="150"/>
      <c r="N85" s="150"/>
      <c r="O85" s="150"/>
      <c r="P85" s="149"/>
      <c r="Q85" s="162">
        <v>1</v>
      </c>
      <c r="R85" s="149"/>
      <c r="S85" s="150"/>
      <c r="T85" s="150"/>
      <c r="U85" s="150"/>
      <c r="V85" s="150"/>
      <c r="W85" s="149"/>
      <c r="X85" s="150"/>
    </row>
    <row r="86" spans="11:24" ht="18.75" customHeight="1">
      <c r="K86" s="161" t="s">
        <v>333</v>
      </c>
      <c r="L86" s="145"/>
      <c r="M86" s="150"/>
      <c r="N86" s="150"/>
      <c r="O86" s="150"/>
      <c r="P86" s="149"/>
      <c r="Q86" s="162">
        <v>1</v>
      </c>
      <c r="R86" s="149"/>
      <c r="S86" s="150"/>
      <c r="T86" s="150"/>
      <c r="U86" s="150"/>
      <c r="V86" s="150"/>
      <c r="W86" s="149"/>
      <c r="X86" s="150"/>
    </row>
    <row r="87" spans="11:24" ht="18.75" customHeight="1" thickBot="1">
      <c r="K87" s="164" t="s">
        <v>334</v>
      </c>
      <c r="L87" s="105"/>
      <c r="M87" s="165"/>
      <c r="N87" s="165"/>
      <c r="O87" s="165"/>
      <c r="P87" s="166"/>
      <c r="Q87" s="167">
        <v>1</v>
      </c>
      <c r="R87" s="149"/>
      <c r="S87" s="147"/>
      <c r="T87" s="150"/>
      <c r="U87" s="150"/>
      <c r="V87" s="150"/>
      <c r="W87" s="149"/>
      <c r="X87" s="150"/>
    </row>
    <row r="88" spans="11:24" ht="18.75" customHeight="1">
      <c r="L88" s="150"/>
      <c r="M88" s="150"/>
      <c r="N88" s="150"/>
      <c r="O88" s="150"/>
      <c r="P88" s="149"/>
      <c r="Q88" s="150"/>
      <c r="R88" s="149"/>
      <c r="S88" s="150"/>
      <c r="T88" s="150"/>
      <c r="U88" s="150"/>
      <c r="V88" s="150"/>
      <c r="W88" s="149"/>
      <c r="X88" s="150"/>
    </row>
    <row r="89" spans="11:24" ht="18.75" customHeight="1">
      <c r="L89" s="150"/>
      <c r="M89" s="150"/>
      <c r="N89" s="150"/>
      <c r="O89" s="150"/>
      <c r="P89" s="149"/>
      <c r="Q89" s="150"/>
      <c r="R89" s="149"/>
      <c r="S89" s="147"/>
      <c r="T89" s="150"/>
      <c r="U89" s="150"/>
      <c r="V89" s="150"/>
      <c r="W89" s="149"/>
      <c r="X89" s="150"/>
    </row>
    <row r="90" spans="11:24" ht="18.75" customHeight="1">
      <c r="L90" s="150"/>
      <c r="M90" s="150"/>
      <c r="N90" s="150"/>
      <c r="O90" s="150"/>
      <c r="P90" s="149"/>
      <c r="Q90" s="150"/>
      <c r="R90" s="149"/>
      <c r="S90" s="150"/>
      <c r="T90" s="150"/>
      <c r="U90" s="150"/>
      <c r="V90" s="150"/>
      <c r="W90" s="149"/>
      <c r="X90" s="150"/>
    </row>
    <row r="91" spans="11:24" ht="18.75" customHeight="1">
      <c r="L91" s="150"/>
      <c r="M91" s="150"/>
      <c r="N91" s="150"/>
      <c r="O91" s="150"/>
      <c r="P91" s="149"/>
      <c r="Q91" s="150"/>
      <c r="R91" s="149"/>
      <c r="S91" s="147"/>
      <c r="T91" s="150"/>
      <c r="U91" s="150"/>
      <c r="V91" s="150"/>
      <c r="W91" s="149"/>
      <c r="X91" s="150"/>
    </row>
    <row r="92" spans="11:24" ht="18.75" customHeight="1">
      <c r="L92" s="150"/>
      <c r="M92" s="150"/>
      <c r="N92" s="150"/>
      <c r="O92" s="150"/>
      <c r="P92" s="149"/>
      <c r="Q92" s="150"/>
      <c r="R92" s="149"/>
      <c r="S92" s="150"/>
      <c r="T92" s="150"/>
      <c r="U92" s="150"/>
      <c r="V92" s="150"/>
      <c r="W92" s="149"/>
      <c r="X92" s="150"/>
    </row>
    <row r="93" spans="11:24" ht="18.75" customHeight="1">
      <c r="L93" s="150"/>
      <c r="M93" s="150"/>
      <c r="N93" s="150"/>
      <c r="O93" s="150"/>
      <c r="P93" s="149"/>
      <c r="Q93" s="150"/>
      <c r="R93" s="149"/>
      <c r="S93" s="150"/>
      <c r="T93" s="150"/>
      <c r="U93" s="150"/>
      <c r="V93" s="150"/>
      <c r="W93" s="149"/>
      <c r="X93" s="150"/>
    </row>
    <row r="94" spans="11:24" ht="18.75" customHeight="1">
      <c r="L94" s="147"/>
      <c r="M94" s="150"/>
      <c r="N94" s="150"/>
      <c r="O94" s="150"/>
      <c r="P94" s="149"/>
      <c r="Q94" s="150"/>
      <c r="R94" s="149"/>
      <c r="S94" s="147"/>
      <c r="T94" s="150"/>
      <c r="U94" s="150"/>
      <c r="V94" s="150"/>
      <c r="W94" s="149"/>
      <c r="X94" s="150"/>
    </row>
    <row r="95" spans="11:24" ht="18.75" customHeight="1">
      <c r="L95" s="150"/>
      <c r="M95" s="150"/>
      <c r="N95" s="150"/>
      <c r="O95" s="150"/>
      <c r="P95" s="149"/>
      <c r="Q95" s="150"/>
      <c r="R95" s="149"/>
      <c r="S95" s="150"/>
      <c r="T95" s="150"/>
      <c r="U95" s="150"/>
      <c r="V95" s="150"/>
      <c r="W95" s="149"/>
      <c r="X95" s="150"/>
    </row>
    <row r="96" spans="11:24" ht="18.75" customHeight="1">
      <c r="L96" s="147"/>
      <c r="M96" s="150"/>
      <c r="N96" s="150"/>
      <c r="O96" s="150"/>
      <c r="P96" s="149"/>
      <c r="Q96" s="150"/>
      <c r="R96" s="149"/>
      <c r="S96" s="150"/>
      <c r="T96" s="150"/>
      <c r="U96" s="150"/>
      <c r="V96" s="150"/>
      <c r="W96" s="149"/>
      <c r="X96" s="150"/>
    </row>
    <row r="97" spans="12:24" ht="18.75" customHeight="1">
      <c r="L97" s="150"/>
      <c r="M97" s="150"/>
      <c r="N97" s="150"/>
      <c r="O97" s="150"/>
      <c r="P97" s="149"/>
      <c r="Q97" s="150"/>
      <c r="R97" s="149"/>
      <c r="S97" s="147"/>
      <c r="T97" s="150"/>
      <c r="U97" s="150"/>
      <c r="V97" s="150"/>
      <c r="W97" s="149"/>
      <c r="X97" s="150"/>
    </row>
    <row r="98" spans="12:24" ht="18.75" customHeight="1">
      <c r="L98" s="150"/>
      <c r="M98" s="150"/>
      <c r="N98" s="150"/>
      <c r="O98" s="150"/>
      <c r="P98" s="149"/>
      <c r="Q98" s="150"/>
      <c r="R98" s="149"/>
      <c r="S98" s="150"/>
      <c r="T98" s="150"/>
      <c r="U98" s="150"/>
      <c r="V98" s="150"/>
      <c r="W98" s="149"/>
      <c r="X98" s="150"/>
    </row>
    <row r="99" spans="12:24" ht="18.75" customHeight="1">
      <c r="L99" s="150"/>
      <c r="M99" s="150"/>
      <c r="N99" s="150"/>
      <c r="O99" s="150"/>
      <c r="P99" s="149"/>
      <c r="Q99" s="150"/>
      <c r="R99" s="149"/>
      <c r="S99" s="150"/>
      <c r="T99" s="150"/>
      <c r="U99" s="150"/>
      <c r="V99" s="150"/>
      <c r="W99" s="149"/>
      <c r="X99" s="150"/>
    </row>
    <row r="100" spans="12:24" ht="18.75" customHeight="1">
      <c r="L100" s="150"/>
      <c r="M100" s="150"/>
      <c r="N100" s="150"/>
      <c r="O100" s="150"/>
      <c r="P100" s="149"/>
      <c r="Q100" s="150"/>
      <c r="R100" s="149"/>
      <c r="S100" s="150"/>
      <c r="T100" s="150"/>
      <c r="U100" s="150"/>
      <c r="V100" s="150"/>
      <c r="W100" s="149"/>
      <c r="X100" s="150"/>
    </row>
    <row r="101" spans="12:24" ht="18.75" customHeight="1">
      <c r="L101" s="147"/>
      <c r="M101" s="150"/>
      <c r="N101" s="150"/>
      <c r="O101" s="150"/>
      <c r="P101" s="149"/>
      <c r="Q101" s="150"/>
      <c r="R101" s="149"/>
      <c r="S101" s="151"/>
      <c r="T101" s="150"/>
      <c r="U101" s="150"/>
      <c r="V101" s="150"/>
      <c r="W101" s="149"/>
      <c r="X101" s="152"/>
    </row>
    <row r="102" spans="12:24" ht="18.75" customHeight="1">
      <c r="L102" s="150"/>
      <c r="M102" s="150"/>
      <c r="N102" s="150"/>
      <c r="O102" s="150"/>
      <c r="P102" s="149"/>
      <c r="Q102" s="150"/>
      <c r="R102" s="149"/>
      <c r="S102" s="151"/>
      <c r="T102" s="150"/>
      <c r="U102" s="150"/>
      <c r="V102" s="150"/>
      <c r="W102" s="149"/>
      <c r="X102" s="152"/>
    </row>
    <row r="103" spans="12:24" ht="18.75" customHeight="1">
      <c r="L103" s="150"/>
      <c r="M103" s="150"/>
      <c r="N103" s="150"/>
      <c r="O103" s="150"/>
      <c r="P103" s="149"/>
      <c r="Q103" s="150"/>
      <c r="R103" s="149"/>
      <c r="S103" s="151"/>
      <c r="T103" s="150"/>
      <c r="U103" s="150"/>
      <c r="V103" s="150"/>
      <c r="W103" s="149"/>
      <c r="X103" s="152"/>
    </row>
    <row r="104" spans="12:24" ht="18.75" customHeight="1">
      <c r="L104" s="150"/>
      <c r="M104" s="150"/>
      <c r="N104" s="150"/>
      <c r="O104" s="150"/>
      <c r="P104" s="149"/>
      <c r="Q104" s="150"/>
      <c r="R104" s="149"/>
      <c r="S104" s="151"/>
      <c r="T104" s="150"/>
      <c r="U104" s="150"/>
      <c r="V104" s="150"/>
      <c r="W104" s="149"/>
      <c r="X104" s="152"/>
    </row>
    <row r="105" spans="12:24" ht="18.75" customHeight="1">
      <c r="L105" s="147"/>
      <c r="M105" s="150"/>
      <c r="N105" s="150"/>
      <c r="O105" s="150"/>
      <c r="P105" s="149"/>
      <c r="Q105" s="150"/>
      <c r="R105" s="149"/>
      <c r="S105" s="151"/>
      <c r="T105" s="150"/>
      <c r="U105" s="150"/>
      <c r="V105" s="150"/>
      <c r="W105" s="149"/>
      <c r="X105" s="152"/>
    </row>
    <row r="106" spans="12:24" ht="18.75" customHeight="1">
      <c r="L106" s="150"/>
      <c r="M106" s="150"/>
      <c r="N106" s="150"/>
      <c r="O106" s="150"/>
      <c r="P106" s="149"/>
      <c r="Q106" s="150"/>
      <c r="R106" s="149"/>
      <c r="S106" s="151"/>
      <c r="T106" s="150"/>
      <c r="U106" s="150"/>
      <c r="V106" s="150"/>
      <c r="W106" s="149"/>
      <c r="X106" s="152"/>
    </row>
    <row r="107" spans="12:24" ht="18.75" customHeight="1">
      <c r="L107" s="147"/>
      <c r="M107" s="150"/>
      <c r="N107" s="150"/>
      <c r="O107" s="150"/>
      <c r="P107" s="149"/>
      <c r="Q107" s="150"/>
      <c r="R107" s="149"/>
      <c r="S107" s="151"/>
      <c r="T107" s="150"/>
      <c r="U107" s="150"/>
      <c r="V107" s="150"/>
      <c r="W107" s="149"/>
      <c r="X107" s="152"/>
    </row>
    <row r="108" spans="12:24" ht="18.75" customHeight="1">
      <c r="L108" s="150"/>
      <c r="M108" s="150"/>
      <c r="N108" s="150"/>
      <c r="O108" s="150"/>
      <c r="P108" s="149"/>
      <c r="Q108" s="150"/>
      <c r="R108" s="149"/>
      <c r="S108" s="151"/>
      <c r="T108" s="150"/>
      <c r="U108" s="150"/>
      <c r="V108" s="150"/>
      <c r="W108" s="149"/>
      <c r="X108" s="152"/>
    </row>
    <row r="109" spans="12:24" ht="18.75" customHeight="1">
      <c r="L109" s="150"/>
      <c r="M109" s="150"/>
      <c r="N109" s="150"/>
      <c r="O109" s="150"/>
      <c r="P109" s="149"/>
      <c r="Q109" s="150"/>
      <c r="R109" s="149"/>
      <c r="S109" s="151"/>
      <c r="T109" s="150"/>
      <c r="U109" s="150"/>
      <c r="V109" s="150"/>
      <c r="W109" s="149"/>
      <c r="X109" s="152"/>
    </row>
    <row r="110" spans="12:24" ht="18.75" customHeight="1">
      <c r="L110" s="150"/>
      <c r="M110" s="150"/>
      <c r="N110" s="150"/>
      <c r="O110" s="150"/>
      <c r="P110" s="149"/>
      <c r="Q110" s="150"/>
      <c r="R110" s="149"/>
      <c r="S110" s="151"/>
      <c r="T110" s="150"/>
      <c r="U110" s="150"/>
      <c r="V110" s="150"/>
      <c r="W110" s="149"/>
      <c r="X110" s="152"/>
    </row>
    <row r="111" spans="12:24" ht="18.75" customHeight="1">
      <c r="L111" s="150"/>
      <c r="M111" s="150"/>
      <c r="N111" s="150"/>
      <c r="O111" s="150"/>
      <c r="P111" s="149"/>
      <c r="Q111" s="150"/>
      <c r="R111" s="149"/>
      <c r="S111" s="151"/>
      <c r="T111" s="150"/>
      <c r="U111" s="150"/>
      <c r="V111" s="150"/>
      <c r="W111" s="149"/>
      <c r="X111" s="152"/>
    </row>
    <row r="112" spans="12:24" ht="18.75" customHeight="1">
      <c r="L112" s="150"/>
      <c r="M112" s="150"/>
      <c r="N112" s="150"/>
      <c r="O112" s="150"/>
      <c r="P112" s="149"/>
      <c r="Q112" s="150"/>
      <c r="R112" s="149"/>
      <c r="S112" s="151"/>
      <c r="T112" s="150"/>
      <c r="U112" s="150"/>
      <c r="V112" s="150"/>
      <c r="W112" s="149"/>
      <c r="X112" s="152"/>
    </row>
    <row r="113" spans="12:24" ht="18.75" customHeight="1">
      <c r="L113" s="150"/>
      <c r="M113" s="150"/>
      <c r="N113" s="150"/>
      <c r="O113" s="150"/>
      <c r="P113" s="149"/>
      <c r="Q113" s="150"/>
      <c r="R113" s="149"/>
      <c r="S113" s="151"/>
      <c r="T113" s="150"/>
      <c r="U113" s="150"/>
      <c r="V113" s="150"/>
      <c r="W113" s="149"/>
      <c r="X113" s="152"/>
    </row>
    <row r="114" spans="12:24" ht="18.75" customHeight="1">
      <c r="L114" s="147"/>
      <c r="M114" s="150"/>
      <c r="N114" s="150"/>
      <c r="O114" s="150"/>
      <c r="P114" s="149"/>
      <c r="Q114" s="150"/>
      <c r="R114" s="149"/>
      <c r="S114" s="151"/>
      <c r="T114" s="150"/>
      <c r="U114" s="150"/>
      <c r="V114" s="150"/>
      <c r="W114" s="149"/>
      <c r="X114" s="152"/>
    </row>
    <row r="115" spans="12:24" ht="18.75" customHeight="1">
      <c r="L115" s="147"/>
      <c r="M115" s="150"/>
      <c r="N115" s="150"/>
      <c r="O115" s="150"/>
      <c r="P115" s="149"/>
      <c r="Q115" s="150"/>
      <c r="R115" s="149"/>
      <c r="S115" s="151"/>
      <c r="T115" s="150"/>
      <c r="U115" s="150"/>
      <c r="V115" s="150"/>
      <c r="W115" s="149"/>
      <c r="X115" s="152"/>
    </row>
    <row r="116" spans="12:24" ht="18.75" customHeight="1">
      <c r="L116" s="147"/>
      <c r="M116" s="150"/>
      <c r="N116" s="150"/>
      <c r="O116" s="150"/>
      <c r="P116" s="149"/>
      <c r="Q116" s="150"/>
      <c r="R116" s="149"/>
      <c r="S116" s="151"/>
      <c r="T116" s="150"/>
      <c r="U116" s="150"/>
      <c r="V116" s="150"/>
      <c r="W116" s="149"/>
      <c r="X116" s="152"/>
    </row>
    <row r="117" spans="12:24" ht="18.75" customHeight="1">
      <c r="L117" s="150"/>
      <c r="M117" s="150"/>
      <c r="N117" s="150"/>
      <c r="O117" s="150"/>
      <c r="P117" s="149"/>
      <c r="Q117" s="150"/>
      <c r="R117" s="149"/>
      <c r="S117" s="151"/>
      <c r="T117" s="150"/>
      <c r="U117" s="150"/>
      <c r="V117" s="150"/>
      <c r="W117" s="149"/>
      <c r="X117" s="152"/>
    </row>
    <row r="118" spans="12:24" ht="18.75" customHeight="1">
      <c r="L118" s="150"/>
      <c r="M118" s="150"/>
      <c r="N118" s="150"/>
      <c r="O118" s="150"/>
      <c r="P118" s="149"/>
      <c r="Q118" s="150"/>
      <c r="R118" s="149"/>
      <c r="S118" s="151"/>
      <c r="T118" s="150"/>
      <c r="U118" s="150"/>
      <c r="V118" s="150"/>
      <c r="W118" s="149"/>
      <c r="X118" s="152"/>
    </row>
    <row r="119" spans="12:24" ht="18.75" customHeight="1">
      <c r="L119" s="150"/>
      <c r="M119" s="150"/>
      <c r="N119" s="150"/>
      <c r="O119" s="150"/>
      <c r="P119" s="149"/>
      <c r="Q119" s="150"/>
      <c r="R119" s="149"/>
      <c r="S119" s="151"/>
      <c r="T119" s="150"/>
      <c r="U119" s="150"/>
      <c r="V119" s="150"/>
      <c r="W119" s="149"/>
      <c r="X119" s="152"/>
    </row>
    <row r="120" spans="12:24" ht="18.75" customHeight="1">
      <c r="L120" s="150"/>
      <c r="M120" s="150"/>
      <c r="N120" s="150"/>
      <c r="O120" s="150"/>
      <c r="P120" s="149"/>
      <c r="Q120" s="150"/>
      <c r="R120" s="149"/>
      <c r="S120" s="151"/>
      <c r="T120" s="150"/>
      <c r="U120" s="150"/>
      <c r="V120" s="150"/>
      <c r="W120" s="149"/>
      <c r="X120" s="152"/>
    </row>
    <row r="121" spans="12:24" ht="18.75" customHeight="1">
      <c r="L121" s="150"/>
      <c r="M121" s="150"/>
      <c r="N121" s="150"/>
      <c r="O121" s="150"/>
      <c r="P121" s="149"/>
      <c r="Q121" s="150"/>
      <c r="R121" s="149"/>
      <c r="S121" s="151"/>
      <c r="T121" s="150"/>
      <c r="U121" s="150"/>
      <c r="V121" s="150"/>
      <c r="W121" s="149"/>
      <c r="X121" s="152"/>
    </row>
    <row r="122" spans="12:24" ht="18.75" customHeight="1">
      <c r="L122" s="150"/>
      <c r="M122" s="150"/>
      <c r="N122" s="150"/>
      <c r="O122" s="150"/>
      <c r="P122" s="149"/>
      <c r="Q122" s="150"/>
      <c r="R122" s="149"/>
      <c r="S122" s="151"/>
      <c r="T122" s="150"/>
      <c r="U122" s="150"/>
      <c r="V122" s="150"/>
      <c r="W122" s="149"/>
      <c r="X122" s="152"/>
    </row>
    <row r="123" spans="12:24" ht="18.75" customHeight="1">
      <c r="L123" s="150"/>
      <c r="M123" s="150"/>
      <c r="N123" s="150"/>
      <c r="O123" s="150"/>
      <c r="P123" s="149"/>
      <c r="Q123" s="150"/>
      <c r="R123" s="149"/>
      <c r="S123" s="151"/>
      <c r="T123" s="150"/>
      <c r="U123" s="150"/>
      <c r="V123" s="150"/>
      <c r="W123" s="149"/>
      <c r="X123" s="152"/>
    </row>
    <row r="124" spans="12:24" ht="18.75" customHeight="1">
      <c r="L124" s="150"/>
      <c r="M124" s="150"/>
      <c r="N124" s="150"/>
      <c r="O124" s="150"/>
      <c r="P124" s="149"/>
      <c r="Q124" s="150"/>
      <c r="R124" s="149"/>
      <c r="S124" s="151"/>
      <c r="T124" s="150"/>
      <c r="U124" s="150"/>
      <c r="V124" s="150"/>
      <c r="W124" s="149"/>
      <c r="X124" s="152"/>
    </row>
    <row r="125" spans="12:24" ht="18.75" customHeight="1">
      <c r="L125" s="150"/>
      <c r="M125" s="148"/>
      <c r="N125" s="148"/>
      <c r="O125" s="150"/>
      <c r="P125" s="149"/>
      <c r="Q125" s="150"/>
      <c r="R125" s="149"/>
      <c r="S125" s="151"/>
      <c r="T125" s="150"/>
      <c r="U125" s="150"/>
      <c r="V125" s="150"/>
      <c r="W125" s="149"/>
      <c r="X125" s="152"/>
    </row>
    <row r="126" spans="12:24" ht="18.75" customHeight="1">
      <c r="L126" s="150"/>
      <c r="M126" s="148"/>
      <c r="N126" s="148"/>
      <c r="O126" s="150"/>
      <c r="P126" s="149"/>
      <c r="Q126" s="150"/>
      <c r="R126" s="149"/>
      <c r="S126" s="151"/>
      <c r="T126" s="150"/>
      <c r="U126" s="150"/>
      <c r="V126" s="150"/>
      <c r="W126" s="149"/>
      <c r="X126" s="152"/>
    </row>
    <row r="127" spans="12:24" ht="18.75" customHeight="1">
      <c r="L127" s="150"/>
      <c r="M127" s="148"/>
      <c r="N127" s="148"/>
      <c r="O127" s="150"/>
      <c r="P127" s="149"/>
      <c r="Q127" s="150"/>
      <c r="R127" s="149"/>
      <c r="S127" s="151"/>
      <c r="T127" s="150"/>
      <c r="U127" s="150"/>
      <c r="V127" s="150"/>
      <c r="W127" s="149"/>
      <c r="X127" s="152"/>
    </row>
    <row r="128" spans="12:24" ht="18.75" customHeight="1">
      <c r="L128" s="150"/>
      <c r="M128" s="148"/>
      <c r="N128" s="148"/>
      <c r="O128" s="150"/>
      <c r="P128" s="149"/>
      <c r="Q128" s="150"/>
      <c r="R128" s="149"/>
      <c r="S128" s="151"/>
      <c r="T128" s="150"/>
      <c r="U128" s="150"/>
      <c r="V128" s="150"/>
      <c r="W128" s="149"/>
      <c r="X128" s="152"/>
    </row>
    <row r="129" spans="12:24" ht="18.75" customHeight="1">
      <c r="L129" s="147"/>
      <c r="M129" s="148"/>
      <c r="N129" s="148"/>
      <c r="O129" s="150"/>
      <c r="P129" s="149"/>
      <c r="Q129" s="150"/>
      <c r="R129" s="149"/>
      <c r="S129" s="151"/>
      <c r="T129" s="150"/>
      <c r="U129" s="150"/>
      <c r="V129" s="150"/>
      <c r="W129" s="149"/>
      <c r="X129" s="152"/>
    </row>
    <row r="130" spans="12:24" ht="18.75" customHeight="1">
      <c r="L130" s="147"/>
      <c r="M130" s="148"/>
      <c r="N130" s="148"/>
      <c r="O130" s="150"/>
      <c r="P130" s="149"/>
      <c r="Q130" s="150"/>
      <c r="R130" s="149"/>
      <c r="S130" s="149"/>
      <c r="T130" s="149"/>
      <c r="U130" s="149"/>
      <c r="V130" s="149"/>
      <c r="W130" s="149"/>
      <c r="X130" s="149"/>
    </row>
    <row r="131" spans="12:24" ht="18.75" customHeight="1">
      <c r="L131" s="147"/>
      <c r="M131" s="148"/>
      <c r="N131" s="148"/>
      <c r="O131" s="150"/>
      <c r="P131" s="149"/>
      <c r="Q131" s="150"/>
      <c r="R131" s="149"/>
      <c r="S131" s="149"/>
      <c r="T131" s="149"/>
      <c r="U131" s="149"/>
      <c r="V131" s="149"/>
      <c r="W131" s="149"/>
      <c r="X131" s="149"/>
    </row>
    <row r="132" spans="12:24" ht="18.75" customHeight="1">
      <c r="L132" s="150"/>
      <c r="M132" s="148"/>
      <c r="N132" s="148"/>
      <c r="O132" s="150"/>
      <c r="P132" s="149"/>
      <c r="Q132" s="150"/>
      <c r="R132" s="149"/>
      <c r="S132" s="149"/>
      <c r="T132" s="149"/>
      <c r="U132" s="149"/>
      <c r="V132" s="149"/>
      <c r="W132" s="149"/>
      <c r="X132" s="149"/>
    </row>
    <row r="133" spans="12:24" ht="18.75" customHeight="1">
      <c r="L133" s="150"/>
      <c r="M133" s="148"/>
      <c r="N133" s="148"/>
      <c r="O133" s="150"/>
      <c r="P133" s="149"/>
      <c r="Q133" s="150"/>
      <c r="R133" s="149"/>
      <c r="S133" s="149"/>
      <c r="T133" s="149"/>
      <c r="U133" s="149"/>
      <c r="V133" s="149"/>
      <c r="W133" s="149"/>
      <c r="X133" s="149"/>
    </row>
    <row r="134" spans="12:24" ht="18.75" customHeight="1">
      <c r="L134" s="150"/>
      <c r="M134" s="148"/>
      <c r="N134" s="148"/>
      <c r="O134" s="150"/>
      <c r="P134" s="149"/>
      <c r="Q134" s="150"/>
      <c r="R134" s="149"/>
      <c r="S134" s="149"/>
      <c r="T134" s="149"/>
      <c r="U134" s="149"/>
      <c r="V134" s="149"/>
      <c r="W134" s="149"/>
      <c r="X134" s="149"/>
    </row>
    <row r="135" spans="12:24" ht="18.75" customHeight="1">
      <c r="L135" s="150"/>
      <c r="M135" s="148"/>
      <c r="N135" s="148"/>
      <c r="O135" s="150"/>
      <c r="P135" s="149"/>
      <c r="Q135" s="150"/>
      <c r="R135" s="149"/>
      <c r="S135" s="149"/>
      <c r="T135" s="149"/>
      <c r="U135" s="149"/>
      <c r="V135" s="149"/>
      <c r="W135" s="149"/>
      <c r="X135" s="149"/>
    </row>
    <row r="136" spans="12:24" ht="18.75" customHeight="1">
      <c r="L136" s="150"/>
      <c r="M136" s="148"/>
      <c r="N136" s="148"/>
      <c r="O136" s="150"/>
      <c r="P136" s="149"/>
      <c r="Q136" s="150"/>
      <c r="R136" s="149"/>
      <c r="S136" s="149"/>
      <c r="T136" s="149"/>
      <c r="U136" s="149"/>
      <c r="V136" s="149"/>
      <c r="W136" s="149"/>
      <c r="X136" s="149"/>
    </row>
    <row r="137" spans="12:24" ht="18.75" customHeight="1">
      <c r="L137" s="150"/>
      <c r="M137" s="148"/>
      <c r="N137" s="148"/>
      <c r="O137" s="150"/>
      <c r="P137" s="149"/>
      <c r="Q137" s="150"/>
      <c r="R137" s="149"/>
      <c r="S137" s="149"/>
      <c r="T137" s="149"/>
      <c r="U137" s="149"/>
      <c r="V137" s="149"/>
      <c r="W137" s="149"/>
      <c r="X137" s="149"/>
    </row>
    <row r="138" spans="12:24" ht="18.75" customHeight="1">
      <c r="L138" s="150"/>
      <c r="M138" s="148"/>
      <c r="N138" s="148"/>
      <c r="O138" s="150"/>
      <c r="P138" s="149"/>
      <c r="Q138" s="150"/>
      <c r="R138" s="149"/>
      <c r="S138" s="149"/>
      <c r="T138" s="149"/>
      <c r="U138" s="149"/>
      <c r="V138" s="149"/>
      <c r="W138" s="149"/>
      <c r="X138" s="149"/>
    </row>
    <row r="139" spans="12:24" ht="18.75" customHeight="1">
      <c r="L139" s="150"/>
      <c r="M139" s="148"/>
      <c r="N139" s="148"/>
      <c r="O139" s="150"/>
      <c r="P139" s="149"/>
      <c r="Q139" s="150"/>
      <c r="R139" s="149"/>
      <c r="S139" s="149"/>
      <c r="T139" s="149"/>
      <c r="U139" s="149"/>
      <c r="V139" s="149"/>
      <c r="W139" s="149"/>
      <c r="X139" s="149"/>
    </row>
    <row r="140" spans="12:24" ht="18.75" customHeight="1">
      <c r="L140" s="147"/>
      <c r="M140" s="148"/>
      <c r="N140" s="148"/>
      <c r="O140" s="150"/>
      <c r="P140" s="149"/>
      <c r="Q140" s="150"/>
      <c r="R140" s="149"/>
      <c r="S140" s="149"/>
      <c r="T140" s="149"/>
      <c r="U140" s="149"/>
      <c r="V140" s="149"/>
      <c r="W140" s="149"/>
      <c r="X140" s="149"/>
    </row>
    <row r="141" spans="12:24" ht="18.75" customHeight="1">
      <c r="L141" s="150"/>
      <c r="M141" s="148"/>
      <c r="N141" s="148"/>
      <c r="O141" s="150"/>
      <c r="P141" s="149"/>
      <c r="Q141" s="150"/>
      <c r="R141" s="149"/>
      <c r="S141" s="149"/>
      <c r="T141" s="149"/>
      <c r="U141" s="149"/>
      <c r="V141" s="149"/>
      <c r="W141" s="149"/>
      <c r="X141" s="149"/>
    </row>
    <row r="142" spans="12:24" ht="18.75" customHeight="1">
      <c r="L142" s="150"/>
      <c r="M142" s="148"/>
      <c r="N142" s="148"/>
      <c r="O142" s="150"/>
      <c r="P142" s="149"/>
      <c r="Q142" s="150"/>
      <c r="R142" s="149"/>
      <c r="S142" s="149"/>
      <c r="T142" s="149"/>
      <c r="U142" s="149"/>
      <c r="V142" s="149"/>
      <c r="W142" s="149"/>
      <c r="X142" s="149"/>
    </row>
    <row r="143" spans="12:24" ht="18.75" customHeight="1">
      <c r="L143" s="150"/>
      <c r="M143" s="148"/>
      <c r="N143" s="148"/>
      <c r="O143" s="150"/>
      <c r="P143" s="149"/>
      <c r="Q143" s="150"/>
      <c r="R143" s="149"/>
      <c r="S143" s="149"/>
      <c r="T143" s="149"/>
      <c r="U143" s="149"/>
      <c r="V143" s="149"/>
      <c r="W143" s="149"/>
      <c r="X143" s="149"/>
    </row>
    <row r="144" spans="12:24" ht="18.75" customHeight="1">
      <c r="L144" s="150"/>
      <c r="M144" s="148"/>
      <c r="N144" s="148"/>
      <c r="O144" s="150"/>
      <c r="P144" s="149"/>
      <c r="Q144" s="150"/>
      <c r="R144" s="149"/>
      <c r="S144" s="149"/>
      <c r="T144" s="149"/>
      <c r="U144" s="149"/>
      <c r="V144" s="149"/>
      <c r="W144" s="149"/>
      <c r="X144" s="149"/>
    </row>
    <row r="235" spans="12:17" ht="19.5" customHeight="1" thickBot="1">
      <c r="L235" s="45" t="s">
        <v>289</v>
      </c>
      <c r="M235" s="81"/>
      <c r="N235" s="81"/>
      <c r="O235" s="42"/>
      <c r="P235" s="105"/>
      <c r="Q235" s="82"/>
    </row>
  </sheetData>
  <sortState xmlns:xlrd2="http://schemas.microsoft.com/office/spreadsheetml/2017/richdata2" ref="K40:Q87">
    <sortCondition descending="1" ref="Q40:Q87"/>
  </sortState>
  <mergeCells count="26">
    <mergeCell ref="A1:AI1"/>
    <mergeCell ref="AL1:AL3"/>
    <mergeCell ref="C42:F42"/>
    <mergeCell ref="C45:F45"/>
    <mergeCell ref="AB2:AI2"/>
    <mergeCell ref="AK39:AQ39"/>
    <mergeCell ref="C41:F41"/>
    <mergeCell ref="AK40:AL40"/>
    <mergeCell ref="C44:F44"/>
    <mergeCell ref="C40:F40"/>
    <mergeCell ref="AK1:AK3"/>
    <mergeCell ref="AM1:AM3"/>
    <mergeCell ref="C43:F43"/>
    <mergeCell ref="C2:I2"/>
    <mergeCell ref="C52:F52"/>
    <mergeCell ref="C48:F48"/>
    <mergeCell ref="C53:F53"/>
    <mergeCell ref="C49:F49"/>
    <mergeCell ref="S2:Z2"/>
    <mergeCell ref="C47:F47"/>
    <mergeCell ref="C50:F50"/>
    <mergeCell ref="C46:F46"/>
    <mergeCell ref="C51:F51"/>
    <mergeCell ref="K2:Q2"/>
    <mergeCell ref="K39:Q39"/>
    <mergeCell ref="T39:V39"/>
  </mergeCells>
  <pageMargins left="0.7" right="0.7" top="0.75" bottom="0.75" header="0.3" footer="0.3"/>
  <pageSetup paperSize="9" orientation="portrait" horizontalDpi="0" verticalDpi="0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N234"/>
  <sheetViews>
    <sheetView topLeftCell="A13" zoomScale="85" zoomScaleNormal="85" workbookViewId="0">
      <selection activeCell="Q42" sqref="Q42"/>
    </sheetView>
  </sheetViews>
  <sheetFormatPr defaultColWidth="8.85546875" defaultRowHeight="18.75"/>
  <cols>
    <col min="1" max="1" width="13" style="77" customWidth="1"/>
    <col min="2" max="2" width="6.140625" style="78" customWidth="1"/>
    <col min="3" max="3" width="7.5703125" style="77" customWidth="1"/>
    <col min="4" max="4" width="7.7109375" style="77" customWidth="1"/>
    <col min="5" max="5" width="8.140625" style="77" customWidth="1"/>
    <col min="6" max="6" width="8" style="77" customWidth="1"/>
    <col min="7" max="8" width="8.7109375" style="77" customWidth="1"/>
    <col min="9" max="9" width="8" style="77" customWidth="1"/>
    <col min="10" max="10" width="4" style="77" customWidth="1"/>
    <col min="11" max="11" width="7.7109375" style="77" customWidth="1"/>
    <col min="12" max="12" width="10.42578125" style="77" customWidth="1"/>
    <col min="13" max="13" width="8" style="77" customWidth="1"/>
    <col min="14" max="14" width="7.7109375" style="77" customWidth="1"/>
    <col min="15" max="16" width="7.85546875" style="77" customWidth="1"/>
    <col min="17" max="17" width="8.28515625" style="77" customWidth="1"/>
    <col min="18" max="18" width="4.28515625" style="77" customWidth="1"/>
    <col min="19" max="19" width="10.42578125" style="77" customWidth="1"/>
    <col min="20" max="20" width="13.140625" style="77" customWidth="1"/>
    <col min="21" max="21" width="15.5703125" style="77" customWidth="1"/>
    <col min="22" max="22" width="10.7109375" style="77" customWidth="1"/>
    <col min="23" max="24" width="10.28515625" style="77" customWidth="1"/>
    <col min="25" max="25" width="8.85546875" style="77" customWidth="1"/>
    <col min="26" max="26" width="11.7109375" style="77" customWidth="1"/>
    <col min="27" max="27" width="4.28515625" style="77" customWidth="1"/>
    <col min="28" max="28" width="9.5703125" style="77" customWidth="1"/>
    <col min="29" max="29" width="13.140625" style="77" customWidth="1"/>
    <col min="30" max="30" width="15.5703125" style="77" customWidth="1"/>
    <col min="31" max="31" width="11.5703125" style="77" customWidth="1"/>
    <col min="32" max="32" width="10.42578125" style="77" customWidth="1"/>
    <col min="33" max="33" width="10.85546875" style="77" customWidth="1"/>
    <col min="34" max="34" width="8.85546875" style="77" customWidth="1"/>
    <col min="35" max="35" width="14.28515625" style="77" customWidth="1"/>
    <col min="36" max="36" width="4.42578125" style="77" customWidth="1"/>
    <col min="37" max="37" width="20.5703125" style="77" customWidth="1"/>
    <col min="38" max="38" width="21" style="77" customWidth="1"/>
    <col min="39" max="39" width="17" style="77" customWidth="1"/>
    <col min="40" max="40" width="8.85546875" style="78" customWidth="1"/>
    <col min="41" max="42" width="8.85546875" style="77" customWidth="1"/>
    <col min="43" max="43" width="34.7109375" style="77" customWidth="1"/>
    <col min="44" max="51" width="8.85546875" style="77" customWidth="1"/>
    <col min="52" max="16384" width="8.85546875" style="77"/>
  </cols>
  <sheetData>
    <row r="1" spans="1:40" ht="20.25" customHeight="1">
      <c r="A1" s="112" t="s">
        <v>33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"/>
      <c r="AK1" s="119" t="s">
        <v>34</v>
      </c>
      <c r="AL1" s="119" t="s">
        <v>35</v>
      </c>
      <c r="AM1" s="128" t="s">
        <v>36</v>
      </c>
      <c r="AN1" s="2"/>
    </row>
    <row r="2" spans="1:40">
      <c r="A2" s="60"/>
      <c r="B2" s="3"/>
      <c r="C2" s="129" t="s">
        <v>37</v>
      </c>
      <c r="D2" s="107"/>
      <c r="E2" s="107"/>
      <c r="F2" s="107"/>
      <c r="G2" s="107"/>
      <c r="H2" s="107"/>
      <c r="I2" s="111"/>
      <c r="J2" s="4"/>
      <c r="K2" s="131" t="s">
        <v>38</v>
      </c>
      <c r="L2" s="107"/>
      <c r="M2" s="107"/>
      <c r="N2" s="107"/>
      <c r="O2" s="107"/>
      <c r="P2" s="107"/>
      <c r="Q2" s="111"/>
      <c r="R2" s="5"/>
      <c r="S2" s="110" t="s">
        <v>39</v>
      </c>
      <c r="T2" s="107"/>
      <c r="U2" s="107"/>
      <c r="V2" s="107"/>
      <c r="W2" s="107"/>
      <c r="X2" s="107"/>
      <c r="Y2" s="107"/>
      <c r="Z2" s="111"/>
      <c r="AA2" s="6"/>
      <c r="AB2" s="110" t="s">
        <v>40</v>
      </c>
      <c r="AC2" s="107"/>
      <c r="AD2" s="107"/>
      <c r="AE2" s="107"/>
      <c r="AF2" s="107"/>
      <c r="AG2" s="107"/>
      <c r="AH2" s="107"/>
      <c r="AI2" s="111"/>
      <c r="AJ2" s="7"/>
      <c r="AK2" s="120"/>
      <c r="AL2" s="120"/>
      <c r="AM2" s="120"/>
      <c r="AN2" s="8"/>
    </row>
    <row r="3" spans="1:40" s="78" customFormat="1">
      <c r="A3" s="9">
        <v>45778</v>
      </c>
      <c r="B3" s="10"/>
      <c r="C3" s="10" t="s">
        <v>41</v>
      </c>
      <c r="D3" s="10" t="s">
        <v>42</v>
      </c>
      <c r="E3" s="10" t="s">
        <v>43</v>
      </c>
      <c r="F3" s="10" t="s">
        <v>44</v>
      </c>
      <c r="G3" s="10" t="s">
        <v>45</v>
      </c>
      <c r="H3" s="11" t="s">
        <v>46</v>
      </c>
      <c r="I3" s="12" t="s">
        <v>47</v>
      </c>
      <c r="J3" s="13"/>
      <c r="K3" s="10" t="s">
        <v>41</v>
      </c>
      <c r="L3" s="10" t="s">
        <v>42</v>
      </c>
      <c r="M3" s="10" t="s">
        <v>43</v>
      </c>
      <c r="N3" s="10" t="s">
        <v>44</v>
      </c>
      <c r="O3" s="10" t="s">
        <v>45</v>
      </c>
      <c r="P3" s="10" t="s">
        <v>46</v>
      </c>
      <c r="Q3" s="12" t="s">
        <v>47</v>
      </c>
      <c r="R3" s="13"/>
      <c r="S3" s="10" t="s">
        <v>48</v>
      </c>
      <c r="T3" s="10" t="s">
        <v>49</v>
      </c>
      <c r="U3" s="10" t="s">
        <v>50</v>
      </c>
      <c r="V3" s="10" t="s">
        <v>51</v>
      </c>
      <c r="W3" s="10" t="s">
        <v>52</v>
      </c>
      <c r="X3" s="10" t="s">
        <v>53</v>
      </c>
      <c r="Y3" s="11" t="s">
        <v>28</v>
      </c>
      <c r="Z3" s="14" t="s">
        <v>47</v>
      </c>
      <c r="AA3" s="15"/>
      <c r="AB3" s="10" t="s">
        <v>48</v>
      </c>
      <c r="AC3" s="10" t="s">
        <v>49</v>
      </c>
      <c r="AD3" s="10" t="s">
        <v>50</v>
      </c>
      <c r="AE3" s="10" t="s">
        <v>51</v>
      </c>
      <c r="AF3" s="10" t="s">
        <v>52</v>
      </c>
      <c r="AG3" s="10" t="s">
        <v>54</v>
      </c>
      <c r="AH3" s="11" t="s">
        <v>28</v>
      </c>
      <c r="AI3" s="14" t="s">
        <v>55</v>
      </c>
      <c r="AJ3" s="16"/>
      <c r="AK3" s="121"/>
      <c r="AL3" s="121"/>
      <c r="AM3" s="121"/>
      <c r="AN3" s="8" t="s">
        <v>56</v>
      </c>
    </row>
    <row r="4" spans="1:40">
      <c r="A4" s="17" t="s">
        <v>61</v>
      </c>
      <c r="B4" s="78">
        <v>1</v>
      </c>
      <c r="C4" s="78"/>
      <c r="D4" s="78"/>
      <c r="E4" s="78"/>
      <c r="F4" s="78"/>
      <c r="G4" s="78"/>
      <c r="H4" s="3"/>
      <c r="I4" s="18">
        <f t="shared" ref="I4:I34" si="0">SUM(C4:H4)</f>
        <v>0</v>
      </c>
      <c r="J4" s="19"/>
      <c r="K4" s="78"/>
      <c r="L4" s="78"/>
      <c r="M4" s="78"/>
      <c r="N4" s="78"/>
      <c r="O4" s="78"/>
      <c r="P4" s="78"/>
      <c r="Q4" s="18">
        <f t="shared" ref="Q4:Q12" si="1">SUM(K4:P4)</f>
        <v>0</v>
      </c>
      <c r="R4" s="20"/>
      <c r="S4" s="21"/>
      <c r="T4" s="21"/>
      <c r="U4" s="21"/>
      <c r="V4" s="21"/>
      <c r="W4" s="21"/>
      <c r="X4" s="21"/>
      <c r="Y4" s="22"/>
      <c r="Z4" s="23">
        <f t="shared" ref="Z4:Z34" si="2">SUM(S4:Y4)</f>
        <v>0</v>
      </c>
      <c r="AA4" s="24"/>
      <c r="AB4" s="78"/>
      <c r="AC4" s="78"/>
      <c r="AD4" s="78"/>
      <c r="AE4" s="78"/>
      <c r="AF4" s="78"/>
      <c r="AG4" s="78"/>
      <c r="AH4" s="3"/>
      <c r="AI4" s="23">
        <f t="shared" ref="AI4:AI34" si="3">SUM(AB4:AH4)</f>
        <v>0</v>
      </c>
      <c r="AJ4" s="7"/>
      <c r="AK4" s="25">
        <f t="shared" ref="AK4:AK34" si="4">I4+Q4</f>
        <v>0</v>
      </c>
      <c r="AL4" s="26">
        <f t="shared" ref="AL4:AL34" si="5">Z4+AI4</f>
        <v>0</v>
      </c>
      <c r="AM4" s="26">
        <f t="shared" ref="AM4:AM34" si="6">AK4+AL4</f>
        <v>0</v>
      </c>
      <c r="AN4" s="8">
        <v>1</v>
      </c>
    </row>
    <row r="5" spans="1:40">
      <c r="A5" s="17" t="s">
        <v>62</v>
      </c>
      <c r="B5" s="78">
        <v>2</v>
      </c>
      <c r="C5" s="78"/>
      <c r="D5" s="78"/>
      <c r="E5" s="78"/>
      <c r="F5" s="78"/>
      <c r="G5" s="78"/>
      <c r="H5" s="3"/>
      <c r="I5" s="18">
        <f t="shared" si="0"/>
        <v>0</v>
      </c>
      <c r="J5" s="19"/>
      <c r="K5" s="78"/>
      <c r="L5" s="78"/>
      <c r="M5" s="78"/>
      <c r="N5" s="78"/>
      <c r="O5" s="78"/>
      <c r="P5" s="78"/>
      <c r="Q5" s="18">
        <f t="shared" si="1"/>
        <v>0</v>
      </c>
      <c r="R5" s="20"/>
      <c r="S5" s="21"/>
      <c r="T5" s="21"/>
      <c r="U5" s="21"/>
      <c r="V5" s="21"/>
      <c r="W5" s="21"/>
      <c r="X5" s="21"/>
      <c r="Y5" s="22"/>
      <c r="Z5" s="23">
        <f t="shared" si="2"/>
        <v>0</v>
      </c>
      <c r="AA5" s="24"/>
      <c r="AB5" s="78"/>
      <c r="AC5" s="78"/>
      <c r="AD5" s="78"/>
      <c r="AE5" s="78"/>
      <c r="AF5" s="78"/>
      <c r="AG5" s="78"/>
      <c r="AH5" s="3"/>
      <c r="AI5" s="23">
        <f t="shared" si="3"/>
        <v>0</v>
      </c>
      <c r="AJ5" s="7"/>
      <c r="AK5" s="25">
        <f t="shared" si="4"/>
        <v>0</v>
      </c>
      <c r="AL5" s="26">
        <f t="shared" si="5"/>
        <v>0</v>
      </c>
      <c r="AM5" s="26">
        <f t="shared" si="6"/>
        <v>0</v>
      </c>
      <c r="AN5" s="8">
        <v>2</v>
      </c>
    </row>
    <row r="6" spans="1:40">
      <c r="A6" s="17" t="s">
        <v>63</v>
      </c>
      <c r="B6" s="78">
        <v>3</v>
      </c>
      <c r="C6" s="78"/>
      <c r="D6" s="78"/>
      <c r="E6" s="78"/>
      <c r="F6" s="78"/>
      <c r="G6" s="78"/>
      <c r="H6" s="3"/>
      <c r="I6" s="18">
        <f t="shared" si="0"/>
        <v>0</v>
      </c>
      <c r="J6" s="19"/>
      <c r="K6" s="78"/>
      <c r="L6" s="78"/>
      <c r="M6" s="78"/>
      <c r="N6" s="78"/>
      <c r="O6" s="78"/>
      <c r="P6" s="78"/>
      <c r="Q6" s="18">
        <f t="shared" si="1"/>
        <v>0</v>
      </c>
      <c r="R6" s="20"/>
      <c r="S6" s="21"/>
      <c r="T6" s="21"/>
      <c r="U6" s="21"/>
      <c r="V6" s="21"/>
      <c r="W6" s="21"/>
      <c r="X6" s="21"/>
      <c r="Y6" s="22"/>
      <c r="Z6" s="23">
        <f t="shared" si="2"/>
        <v>0</v>
      </c>
      <c r="AA6" s="24"/>
      <c r="AB6" s="78"/>
      <c r="AC6" s="78"/>
      <c r="AD6" s="78"/>
      <c r="AE6" s="78"/>
      <c r="AF6" s="78"/>
      <c r="AG6" s="78"/>
      <c r="AH6" s="3"/>
      <c r="AI6" s="23">
        <f t="shared" si="3"/>
        <v>0</v>
      </c>
      <c r="AJ6" s="7"/>
      <c r="AK6" s="25">
        <f t="shared" si="4"/>
        <v>0</v>
      </c>
      <c r="AL6" s="26">
        <f t="shared" si="5"/>
        <v>0</v>
      </c>
      <c r="AM6" s="26">
        <f t="shared" si="6"/>
        <v>0</v>
      </c>
      <c r="AN6" s="8">
        <v>3</v>
      </c>
    </row>
    <row r="7" spans="1:40">
      <c r="A7" s="17" t="s">
        <v>57</v>
      </c>
      <c r="B7" s="78">
        <v>4</v>
      </c>
      <c r="C7" s="78"/>
      <c r="D7" s="78"/>
      <c r="E7" s="78"/>
      <c r="F7" s="78"/>
      <c r="G7" s="78"/>
      <c r="H7" s="3"/>
      <c r="I7" s="18">
        <f t="shared" si="0"/>
        <v>0</v>
      </c>
      <c r="J7" s="19"/>
      <c r="K7" s="78"/>
      <c r="L7" s="78"/>
      <c r="M7" s="78"/>
      <c r="N7" s="78"/>
      <c r="O7" s="78"/>
      <c r="P7" s="78"/>
      <c r="Q7" s="18">
        <f t="shared" si="1"/>
        <v>0</v>
      </c>
      <c r="R7" s="20"/>
      <c r="S7" s="21"/>
      <c r="T7" s="21"/>
      <c r="U7" s="21"/>
      <c r="V7" s="21"/>
      <c r="W7" s="21"/>
      <c r="X7" s="21"/>
      <c r="Y7" s="22"/>
      <c r="Z7" s="23">
        <f t="shared" si="2"/>
        <v>0</v>
      </c>
      <c r="AA7" s="24"/>
      <c r="AB7" s="78"/>
      <c r="AC7" s="78"/>
      <c r="AD7" s="78"/>
      <c r="AE7" s="78"/>
      <c r="AF7" s="78"/>
      <c r="AG7" s="78"/>
      <c r="AH7" s="3"/>
      <c r="AI7" s="23">
        <f t="shared" si="3"/>
        <v>0</v>
      </c>
      <c r="AJ7" s="7"/>
      <c r="AK7" s="25">
        <f t="shared" si="4"/>
        <v>0</v>
      </c>
      <c r="AL7" s="26">
        <f t="shared" si="5"/>
        <v>0</v>
      </c>
      <c r="AM7" s="26">
        <f t="shared" si="6"/>
        <v>0</v>
      </c>
      <c r="AN7" s="8">
        <v>4</v>
      </c>
    </row>
    <row r="8" spans="1:40">
      <c r="A8" s="17" t="s">
        <v>58</v>
      </c>
      <c r="B8" s="78">
        <v>5</v>
      </c>
      <c r="C8" s="78"/>
      <c r="D8" s="78"/>
      <c r="E8" s="78"/>
      <c r="F8" s="78"/>
      <c r="G8" s="78"/>
      <c r="H8" s="3"/>
      <c r="I8" s="18">
        <f t="shared" si="0"/>
        <v>0</v>
      </c>
      <c r="J8" s="19"/>
      <c r="K8" s="78"/>
      <c r="L8" s="78"/>
      <c r="M8" s="78"/>
      <c r="N8" s="78"/>
      <c r="O8" s="78"/>
      <c r="P8" s="78"/>
      <c r="Q8" s="18">
        <f t="shared" si="1"/>
        <v>0</v>
      </c>
      <c r="R8" s="20"/>
      <c r="S8" s="21"/>
      <c r="T8" s="21"/>
      <c r="U8" s="21"/>
      <c r="V8" s="21"/>
      <c r="W8" s="21"/>
      <c r="X8" s="21"/>
      <c r="Y8" s="22"/>
      <c r="Z8" s="23">
        <f t="shared" si="2"/>
        <v>0</v>
      </c>
      <c r="AA8" s="24"/>
      <c r="AB8" s="78"/>
      <c r="AC8" s="78"/>
      <c r="AD8" s="78"/>
      <c r="AE8" s="78"/>
      <c r="AF8" s="78"/>
      <c r="AG8" s="78"/>
      <c r="AH8" s="3"/>
      <c r="AI8" s="23">
        <f t="shared" si="3"/>
        <v>0</v>
      </c>
      <c r="AJ8" s="7"/>
      <c r="AK8" s="25">
        <f t="shared" si="4"/>
        <v>0</v>
      </c>
      <c r="AL8" s="26">
        <f t="shared" si="5"/>
        <v>0</v>
      </c>
      <c r="AM8" s="26">
        <f t="shared" si="6"/>
        <v>0</v>
      </c>
      <c r="AN8" s="8">
        <v>5</v>
      </c>
    </row>
    <row r="9" spans="1:40">
      <c r="A9" s="17" t="s">
        <v>59</v>
      </c>
      <c r="B9" s="78">
        <v>6</v>
      </c>
      <c r="C9" s="78"/>
      <c r="D9" s="78"/>
      <c r="E9" s="78"/>
      <c r="F9" s="78"/>
      <c r="G9" s="78"/>
      <c r="H9" s="3"/>
      <c r="I9" s="18">
        <f t="shared" si="0"/>
        <v>0</v>
      </c>
      <c r="J9" s="19"/>
      <c r="K9" s="78"/>
      <c r="L9" s="78"/>
      <c r="M9" s="78"/>
      <c r="N9" s="78"/>
      <c r="O9" s="78"/>
      <c r="P9" s="78"/>
      <c r="Q9" s="18">
        <f t="shared" si="1"/>
        <v>0</v>
      </c>
      <c r="R9" s="20"/>
      <c r="S9" s="21"/>
      <c r="T9" s="21"/>
      <c r="U9" s="21"/>
      <c r="V9" s="21"/>
      <c r="W9" s="21"/>
      <c r="X9" s="21"/>
      <c r="Y9" s="22"/>
      <c r="Z9" s="23">
        <f t="shared" si="2"/>
        <v>0</v>
      </c>
      <c r="AA9" s="24"/>
      <c r="AB9" s="78"/>
      <c r="AC9" s="78"/>
      <c r="AD9" s="78"/>
      <c r="AE9" s="78"/>
      <c r="AF9" s="78"/>
      <c r="AG9" s="78"/>
      <c r="AH9" s="3"/>
      <c r="AI9" s="23">
        <f t="shared" si="3"/>
        <v>0</v>
      </c>
      <c r="AJ9" s="7"/>
      <c r="AK9" s="25">
        <f t="shared" si="4"/>
        <v>0</v>
      </c>
      <c r="AL9" s="26">
        <f t="shared" si="5"/>
        <v>0</v>
      </c>
      <c r="AM9" s="26">
        <f t="shared" si="6"/>
        <v>0</v>
      </c>
      <c r="AN9" s="8">
        <v>6</v>
      </c>
    </row>
    <row r="10" spans="1:40">
      <c r="A10" s="17" t="s">
        <v>60</v>
      </c>
      <c r="B10" s="78">
        <v>7</v>
      </c>
      <c r="C10" s="78"/>
      <c r="D10" s="78"/>
      <c r="E10" s="78"/>
      <c r="F10" s="78"/>
      <c r="G10" s="78"/>
      <c r="H10" s="3"/>
      <c r="I10" s="18">
        <f t="shared" si="0"/>
        <v>0</v>
      </c>
      <c r="J10" s="19"/>
      <c r="K10" s="78"/>
      <c r="L10" s="78"/>
      <c r="M10" s="78"/>
      <c r="N10" s="78"/>
      <c r="O10" s="78"/>
      <c r="P10" s="78"/>
      <c r="Q10" s="18">
        <f t="shared" si="1"/>
        <v>0</v>
      </c>
      <c r="R10" s="20"/>
      <c r="S10" s="21"/>
      <c r="T10" s="21"/>
      <c r="U10" s="21"/>
      <c r="V10" s="21"/>
      <c r="W10" s="21"/>
      <c r="X10" s="21"/>
      <c r="Y10" s="22"/>
      <c r="Z10" s="23">
        <f t="shared" si="2"/>
        <v>0</v>
      </c>
      <c r="AA10" s="24"/>
      <c r="AB10" s="78"/>
      <c r="AC10" s="78"/>
      <c r="AD10" s="78"/>
      <c r="AE10" s="78"/>
      <c r="AF10" s="78"/>
      <c r="AG10" s="78"/>
      <c r="AH10" s="3"/>
      <c r="AI10" s="23">
        <f t="shared" si="3"/>
        <v>0</v>
      </c>
      <c r="AJ10" s="7"/>
      <c r="AK10" s="25">
        <f t="shared" si="4"/>
        <v>0</v>
      </c>
      <c r="AL10" s="26">
        <f t="shared" si="5"/>
        <v>0</v>
      </c>
      <c r="AM10" s="26">
        <f t="shared" si="6"/>
        <v>0</v>
      </c>
      <c r="AN10" s="8">
        <v>7</v>
      </c>
    </row>
    <row r="11" spans="1:40">
      <c r="A11" s="17" t="s">
        <v>61</v>
      </c>
      <c r="B11" s="78">
        <v>8</v>
      </c>
      <c r="C11" s="78"/>
      <c r="D11" s="78"/>
      <c r="E11" s="78"/>
      <c r="F11" s="78"/>
      <c r="G11" s="78"/>
      <c r="H11" s="3"/>
      <c r="I11" s="18">
        <f t="shared" si="0"/>
        <v>0</v>
      </c>
      <c r="J11" s="19"/>
      <c r="K11" s="78"/>
      <c r="L11" s="78"/>
      <c r="M11" s="78"/>
      <c r="N11" s="78"/>
      <c r="O11" s="78"/>
      <c r="P11" s="78"/>
      <c r="Q11" s="18">
        <f t="shared" si="1"/>
        <v>0</v>
      </c>
      <c r="R11" s="20"/>
      <c r="S11" s="21"/>
      <c r="T11" s="21"/>
      <c r="U11" s="21"/>
      <c r="V11" s="21"/>
      <c r="W11" s="21"/>
      <c r="X11" s="21"/>
      <c r="Y11" s="22"/>
      <c r="Z11" s="23">
        <f t="shared" si="2"/>
        <v>0</v>
      </c>
      <c r="AA11" s="24"/>
      <c r="AB11" s="78"/>
      <c r="AC11" s="78"/>
      <c r="AD11" s="78"/>
      <c r="AE11" s="78"/>
      <c r="AF11" s="78"/>
      <c r="AG11" s="78"/>
      <c r="AH11" s="3"/>
      <c r="AI11" s="23">
        <f t="shared" si="3"/>
        <v>0</v>
      </c>
      <c r="AJ11" s="7"/>
      <c r="AK11" s="25">
        <f t="shared" si="4"/>
        <v>0</v>
      </c>
      <c r="AL11" s="26">
        <f t="shared" si="5"/>
        <v>0</v>
      </c>
      <c r="AM11" s="26">
        <f t="shared" si="6"/>
        <v>0</v>
      </c>
      <c r="AN11" s="8">
        <v>8</v>
      </c>
    </row>
    <row r="12" spans="1:40">
      <c r="A12" s="17" t="s">
        <v>62</v>
      </c>
      <c r="B12" s="78">
        <v>9</v>
      </c>
      <c r="C12" s="78"/>
      <c r="D12" s="78"/>
      <c r="E12" s="78"/>
      <c r="F12" s="78"/>
      <c r="G12" s="78"/>
      <c r="H12" s="3"/>
      <c r="I12" s="18">
        <f t="shared" si="0"/>
        <v>0</v>
      </c>
      <c r="J12" s="19"/>
      <c r="K12" s="78"/>
      <c r="L12" s="78"/>
      <c r="M12" s="78"/>
      <c r="N12" s="78"/>
      <c r="O12" s="78"/>
      <c r="P12" s="78"/>
      <c r="Q12" s="18">
        <f t="shared" si="1"/>
        <v>0</v>
      </c>
      <c r="R12" s="20"/>
      <c r="S12" s="21"/>
      <c r="T12" s="21"/>
      <c r="U12" s="21"/>
      <c r="V12" s="21"/>
      <c r="W12" s="21"/>
      <c r="X12" s="21"/>
      <c r="Y12" s="22"/>
      <c r="Z12" s="23">
        <f t="shared" si="2"/>
        <v>0</v>
      </c>
      <c r="AA12" s="24"/>
      <c r="AB12" s="78"/>
      <c r="AC12" s="78"/>
      <c r="AD12" s="78"/>
      <c r="AE12" s="78"/>
      <c r="AF12" s="78"/>
      <c r="AG12" s="78"/>
      <c r="AH12" s="3"/>
      <c r="AI12" s="23">
        <f t="shared" si="3"/>
        <v>0</v>
      </c>
      <c r="AJ12" s="7"/>
      <c r="AK12" s="25">
        <f t="shared" si="4"/>
        <v>0</v>
      </c>
      <c r="AL12" s="26">
        <f t="shared" si="5"/>
        <v>0</v>
      </c>
      <c r="AM12" s="26">
        <f t="shared" si="6"/>
        <v>0</v>
      </c>
      <c r="AN12" s="8">
        <v>9</v>
      </c>
    </row>
    <row r="13" spans="1:40">
      <c r="A13" s="17" t="s">
        <v>63</v>
      </c>
      <c r="B13" s="78">
        <v>10</v>
      </c>
      <c r="C13" s="78"/>
      <c r="D13" s="78"/>
      <c r="E13" s="78"/>
      <c r="F13" s="78"/>
      <c r="G13" s="78"/>
      <c r="H13" s="3"/>
      <c r="I13" s="18">
        <f t="shared" si="0"/>
        <v>0</v>
      </c>
      <c r="J13" s="19"/>
      <c r="K13" s="78"/>
      <c r="L13" s="78"/>
      <c r="M13" s="78"/>
      <c r="N13" s="78"/>
      <c r="O13" s="78"/>
      <c r="P13" s="78"/>
      <c r="Q13" s="18"/>
      <c r="R13" s="20"/>
      <c r="S13" s="21"/>
      <c r="T13" s="21"/>
      <c r="U13" s="21"/>
      <c r="V13" s="21"/>
      <c r="W13" s="21"/>
      <c r="X13" s="21"/>
      <c r="Y13" s="22"/>
      <c r="Z13" s="23">
        <f t="shared" si="2"/>
        <v>0</v>
      </c>
      <c r="AA13" s="24"/>
      <c r="AB13" s="78"/>
      <c r="AC13" s="78"/>
      <c r="AD13" s="78"/>
      <c r="AE13" s="78"/>
      <c r="AF13" s="78"/>
      <c r="AG13" s="78"/>
      <c r="AH13" s="3"/>
      <c r="AI13" s="23">
        <f t="shared" si="3"/>
        <v>0</v>
      </c>
      <c r="AJ13" s="7"/>
      <c r="AK13" s="25">
        <f t="shared" si="4"/>
        <v>0</v>
      </c>
      <c r="AL13" s="26">
        <f t="shared" si="5"/>
        <v>0</v>
      </c>
      <c r="AM13" s="26">
        <f t="shared" si="6"/>
        <v>0</v>
      </c>
      <c r="AN13" s="8">
        <v>10</v>
      </c>
    </row>
    <row r="14" spans="1:40">
      <c r="A14" s="17" t="s">
        <v>57</v>
      </c>
      <c r="B14" s="78">
        <v>11</v>
      </c>
      <c r="C14" s="78"/>
      <c r="D14" s="78"/>
      <c r="E14" s="78"/>
      <c r="F14" s="78"/>
      <c r="G14" s="78"/>
      <c r="H14" s="3"/>
      <c r="I14" s="18">
        <f t="shared" si="0"/>
        <v>0</v>
      </c>
      <c r="J14" s="19"/>
      <c r="K14" s="78"/>
      <c r="L14" s="78"/>
      <c r="M14" s="78"/>
      <c r="N14" s="78"/>
      <c r="O14" s="78"/>
      <c r="P14" s="78"/>
      <c r="Q14" s="18">
        <f t="shared" ref="Q14:Q34" si="7">SUM(K14:P14)</f>
        <v>0</v>
      </c>
      <c r="R14" s="20"/>
      <c r="S14" s="21"/>
      <c r="T14" s="21"/>
      <c r="U14" s="21"/>
      <c r="V14" s="21"/>
      <c r="W14" s="21"/>
      <c r="X14" s="21"/>
      <c r="Y14" s="22"/>
      <c r="Z14" s="23">
        <f t="shared" si="2"/>
        <v>0</v>
      </c>
      <c r="AA14" s="24"/>
      <c r="AB14" s="78"/>
      <c r="AC14" s="78"/>
      <c r="AD14" s="78"/>
      <c r="AE14" s="78"/>
      <c r="AF14" s="78"/>
      <c r="AG14" s="78"/>
      <c r="AH14" s="3"/>
      <c r="AI14" s="23">
        <f t="shared" si="3"/>
        <v>0</v>
      </c>
      <c r="AJ14" s="7"/>
      <c r="AK14" s="25">
        <f t="shared" si="4"/>
        <v>0</v>
      </c>
      <c r="AL14" s="26">
        <f t="shared" si="5"/>
        <v>0</v>
      </c>
      <c r="AM14" s="26">
        <f t="shared" si="6"/>
        <v>0</v>
      </c>
      <c r="AN14" s="8">
        <v>11</v>
      </c>
    </row>
    <row r="15" spans="1:40">
      <c r="A15" s="17" t="s">
        <v>58</v>
      </c>
      <c r="B15" s="78">
        <v>12</v>
      </c>
      <c r="C15" s="78"/>
      <c r="D15" s="78"/>
      <c r="E15" s="78"/>
      <c r="F15" s="78"/>
      <c r="G15" s="78"/>
      <c r="H15" s="3"/>
      <c r="I15" s="18">
        <f t="shared" si="0"/>
        <v>0</v>
      </c>
      <c r="J15" s="19"/>
      <c r="K15" s="78"/>
      <c r="L15" s="78"/>
      <c r="M15" s="78"/>
      <c r="N15" s="78"/>
      <c r="O15" s="78"/>
      <c r="P15" s="78"/>
      <c r="Q15" s="18">
        <f t="shared" si="7"/>
        <v>0</v>
      </c>
      <c r="R15" s="20"/>
      <c r="S15" s="21"/>
      <c r="T15" s="21"/>
      <c r="U15" s="21"/>
      <c r="V15" s="21"/>
      <c r="W15" s="21"/>
      <c r="X15" s="21"/>
      <c r="Y15" s="22"/>
      <c r="Z15" s="23">
        <f t="shared" si="2"/>
        <v>0</v>
      </c>
      <c r="AA15" s="24"/>
      <c r="AB15" s="78"/>
      <c r="AC15" s="78"/>
      <c r="AD15" s="78"/>
      <c r="AE15" s="78"/>
      <c r="AF15" s="78"/>
      <c r="AG15" s="78"/>
      <c r="AH15" s="3"/>
      <c r="AI15" s="23">
        <f t="shared" si="3"/>
        <v>0</v>
      </c>
      <c r="AJ15" s="7"/>
      <c r="AK15" s="25">
        <f t="shared" si="4"/>
        <v>0</v>
      </c>
      <c r="AL15" s="26">
        <f t="shared" si="5"/>
        <v>0</v>
      </c>
      <c r="AM15" s="26">
        <f t="shared" si="6"/>
        <v>0</v>
      </c>
      <c r="AN15" s="8">
        <v>12</v>
      </c>
    </row>
    <row r="16" spans="1:40">
      <c r="A16" s="17" t="s">
        <v>59</v>
      </c>
      <c r="B16" s="78">
        <v>13</v>
      </c>
      <c r="C16" s="78"/>
      <c r="D16" s="78"/>
      <c r="E16" s="78"/>
      <c r="F16" s="78"/>
      <c r="G16" s="78"/>
      <c r="H16" s="3"/>
      <c r="I16" s="18">
        <f t="shared" si="0"/>
        <v>0</v>
      </c>
      <c r="J16" s="19"/>
      <c r="K16" s="78"/>
      <c r="L16" s="78"/>
      <c r="M16" s="78"/>
      <c r="N16" s="78"/>
      <c r="O16" s="78"/>
      <c r="P16" s="78"/>
      <c r="Q16" s="18">
        <f t="shared" si="7"/>
        <v>0</v>
      </c>
      <c r="R16" s="20"/>
      <c r="S16" s="21"/>
      <c r="T16" s="21"/>
      <c r="U16" s="21"/>
      <c r="V16" s="21"/>
      <c r="W16" s="21"/>
      <c r="X16" s="21"/>
      <c r="Y16" s="22"/>
      <c r="Z16" s="23">
        <f t="shared" si="2"/>
        <v>0</v>
      </c>
      <c r="AA16" s="24"/>
      <c r="AB16" s="78"/>
      <c r="AC16" s="78"/>
      <c r="AD16" s="78"/>
      <c r="AE16" s="78"/>
      <c r="AF16" s="78"/>
      <c r="AG16" s="78"/>
      <c r="AH16" s="3"/>
      <c r="AI16" s="23">
        <f t="shared" si="3"/>
        <v>0</v>
      </c>
      <c r="AJ16" s="7"/>
      <c r="AK16" s="25">
        <f t="shared" si="4"/>
        <v>0</v>
      </c>
      <c r="AL16" s="26">
        <f t="shared" si="5"/>
        <v>0</v>
      </c>
      <c r="AM16" s="26">
        <f t="shared" si="6"/>
        <v>0</v>
      </c>
      <c r="AN16" s="8">
        <v>13</v>
      </c>
    </row>
    <row r="17" spans="1:40">
      <c r="A17" s="17" t="s">
        <v>60</v>
      </c>
      <c r="B17" s="78">
        <v>14</v>
      </c>
      <c r="C17" s="78"/>
      <c r="D17" s="78"/>
      <c r="E17" s="78"/>
      <c r="F17" s="78"/>
      <c r="G17" s="78"/>
      <c r="H17" s="3"/>
      <c r="I17" s="18">
        <f t="shared" si="0"/>
        <v>0</v>
      </c>
      <c r="J17" s="19"/>
      <c r="K17" s="78"/>
      <c r="L17" s="78"/>
      <c r="M17" s="78"/>
      <c r="N17" s="78"/>
      <c r="O17" s="78"/>
      <c r="P17" s="78"/>
      <c r="Q17" s="18">
        <f t="shared" si="7"/>
        <v>0</v>
      </c>
      <c r="R17" s="20"/>
      <c r="S17" s="21"/>
      <c r="T17" s="21"/>
      <c r="U17" s="21"/>
      <c r="V17" s="21"/>
      <c r="W17" s="21"/>
      <c r="X17" s="21"/>
      <c r="Y17" s="22"/>
      <c r="Z17" s="23">
        <f t="shared" si="2"/>
        <v>0</v>
      </c>
      <c r="AA17" s="24"/>
      <c r="AB17" s="78"/>
      <c r="AC17" s="78"/>
      <c r="AD17" s="78"/>
      <c r="AE17" s="78"/>
      <c r="AF17" s="78"/>
      <c r="AG17" s="78"/>
      <c r="AH17" s="3"/>
      <c r="AI17" s="23">
        <f t="shared" si="3"/>
        <v>0</v>
      </c>
      <c r="AJ17" s="7"/>
      <c r="AK17" s="25">
        <f t="shared" si="4"/>
        <v>0</v>
      </c>
      <c r="AL17" s="26">
        <f t="shared" si="5"/>
        <v>0</v>
      </c>
      <c r="AM17" s="26">
        <f t="shared" si="6"/>
        <v>0</v>
      </c>
      <c r="AN17" s="8">
        <v>14</v>
      </c>
    </row>
    <row r="18" spans="1:40">
      <c r="A18" s="17" t="s">
        <v>61</v>
      </c>
      <c r="B18" s="78">
        <v>15</v>
      </c>
      <c r="C18" s="78"/>
      <c r="D18" s="78"/>
      <c r="E18" s="78"/>
      <c r="F18" s="78"/>
      <c r="G18" s="78"/>
      <c r="H18" s="3"/>
      <c r="I18" s="18">
        <f t="shared" si="0"/>
        <v>0</v>
      </c>
      <c r="J18" s="19"/>
      <c r="K18" s="78"/>
      <c r="L18" s="78"/>
      <c r="M18" s="78"/>
      <c r="N18" s="78"/>
      <c r="O18" s="78"/>
      <c r="P18" s="78"/>
      <c r="Q18" s="18">
        <f t="shared" si="7"/>
        <v>0</v>
      </c>
      <c r="R18" s="20"/>
      <c r="S18" s="21"/>
      <c r="T18" s="21"/>
      <c r="U18" s="21"/>
      <c r="V18" s="21"/>
      <c r="W18" s="21"/>
      <c r="X18" s="21"/>
      <c r="Y18" s="22"/>
      <c r="Z18" s="23">
        <f t="shared" si="2"/>
        <v>0</v>
      </c>
      <c r="AA18" s="24"/>
      <c r="AB18" s="78"/>
      <c r="AC18" s="78"/>
      <c r="AD18" s="78"/>
      <c r="AE18" s="78"/>
      <c r="AF18" s="78"/>
      <c r="AG18" s="78"/>
      <c r="AH18" s="3"/>
      <c r="AI18" s="23">
        <f t="shared" si="3"/>
        <v>0</v>
      </c>
      <c r="AJ18" s="7"/>
      <c r="AK18" s="25">
        <f t="shared" si="4"/>
        <v>0</v>
      </c>
      <c r="AL18" s="26">
        <f t="shared" si="5"/>
        <v>0</v>
      </c>
      <c r="AM18" s="26">
        <f t="shared" si="6"/>
        <v>0</v>
      </c>
      <c r="AN18" s="8">
        <v>15</v>
      </c>
    </row>
    <row r="19" spans="1:40">
      <c r="A19" s="17" t="s">
        <v>62</v>
      </c>
      <c r="B19" s="78">
        <v>16</v>
      </c>
      <c r="C19" s="78"/>
      <c r="D19" s="78"/>
      <c r="E19" s="78"/>
      <c r="F19" s="78"/>
      <c r="G19" s="78"/>
      <c r="H19" s="3"/>
      <c r="I19" s="18">
        <f t="shared" si="0"/>
        <v>0</v>
      </c>
      <c r="J19" s="19"/>
      <c r="K19" s="78"/>
      <c r="L19" s="78"/>
      <c r="M19" s="78"/>
      <c r="N19" s="78"/>
      <c r="O19" s="78"/>
      <c r="P19" s="78"/>
      <c r="Q19" s="18">
        <f t="shared" si="7"/>
        <v>0</v>
      </c>
      <c r="R19" s="20"/>
      <c r="S19" s="21"/>
      <c r="T19" s="21"/>
      <c r="U19" s="21"/>
      <c r="V19" s="21"/>
      <c r="W19" s="21"/>
      <c r="X19" s="21"/>
      <c r="Y19" s="22"/>
      <c r="Z19" s="23">
        <f t="shared" si="2"/>
        <v>0</v>
      </c>
      <c r="AA19" s="24"/>
      <c r="AB19" s="78"/>
      <c r="AC19" s="78"/>
      <c r="AD19" s="78"/>
      <c r="AE19" s="78"/>
      <c r="AF19" s="78"/>
      <c r="AG19" s="78"/>
      <c r="AH19" s="3"/>
      <c r="AI19" s="23">
        <f t="shared" si="3"/>
        <v>0</v>
      </c>
      <c r="AJ19" s="7"/>
      <c r="AK19" s="25">
        <f t="shared" si="4"/>
        <v>0</v>
      </c>
      <c r="AL19" s="26">
        <f t="shared" si="5"/>
        <v>0</v>
      </c>
      <c r="AM19" s="26">
        <f t="shared" si="6"/>
        <v>0</v>
      </c>
      <c r="AN19" s="8">
        <v>16</v>
      </c>
    </row>
    <row r="20" spans="1:40">
      <c r="A20" s="17" t="s">
        <v>63</v>
      </c>
      <c r="B20" s="78">
        <v>17</v>
      </c>
      <c r="C20" s="78"/>
      <c r="D20" s="78"/>
      <c r="E20" s="78"/>
      <c r="F20" s="78"/>
      <c r="G20" s="78"/>
      <c r="H20" s="3"/>
      <c r="I20" s="18">
        <f t="shared" si="0"/>
        <v>0</v>
      </c>
      <c r="J20" s="19"/>
      <c r="K20" s="78"/>
      <c r="L20" s="78"/>
      <c r="M20" s="78"/>
      <c r="N20" s="78"/>
      <c r="O20" s="78"/>
      <c r="P20" s="78"/>
      <c r="Q20" s="18">
        <f t="shared" si="7"/>
        <v>0</v>
      </c>
      <c r="R20" s="20"/>
      <c r="S20" s="21"/>
      <c r="T20" s="21"/>
      <c r="U20" s="21"/>
      <c r="V20" s="21"/>
      <c r="W20" s="21"/>
      <c r="X20" s="21"/>
      <c r="Y20" s="22"/>
      <c r="Z20" s="23">
        <f t="shared" si="2"/>
        <v>0</v>
      </c>
      <c r="AA20" s="24"/>
      <c r="AB20" s="78"/>
      <c r="AC20" s="78"/>
      <c r="AD20" s="78"/>
      <c r="AE20" s="78"/>
      <c r="AF20" s="78"/>
      <c r="AG20" s="78"/>
      <c r="AH20" s="3"/>
      <c r="AI20" s="23">
        <f t="shared" si="3"/>
        <v>0</v>
      </c>
      <c r="AJ20" s="7"/>
      <c r="AK20" s="25">
        <f t="shared" si="4"/>
        <v>0</v>
      </c>
      <c r="AL20" s="26">
        <f t="shared" si="5"/>
        <v>0</v>
      </c>
      <c r="AM20" s="26">
        <f t="shared" si="6"/>
        <v>0</v>
      </c>
      <c r="AN20" s="8">
        <v>17</v>
      </c>
    </row>
    <row r="21" spans="1:40">
      <c r="A21" s="17" t="s">
        <v>57</v>
      </c>
      <c r="B21" s="78">
        <v>18</v>
      </c>
      <c r="C21" s="78"/>
      <c r="D21" s="78"/>
      <c r="E21" s="78"/>
      <c r="F21" s="78"/>
      <c r="G21" s="78"/>
      <c r="H21" s="3"/>
      <c r="I21" s="18">
        <f t="shared" si="0"/>
        <v>0</v>
      </c>
      <c r="J21" s="19"/>
      <c r="K21" s="78"/>
      <c r="L21" s="78"/>
      <c r="M21" s="78"/>
      <c r="N21" s="78"/>
      <c r="O21" s="78"/>
      <c r="P21" s="78"/>
      <c r="Q21" s="18">
        <f t="shared" si="7"/>
        <v>0</v>
      </c>
      <c r="R21" s="20"/>
      <c r="S21" s="21"/>
      <c r="T21" s="21"/>
      <c r="U21" s="21"/>
      <c r="V21" s="21"/>
      <c r="W21" s="21"/>
      <c r="X21" s="21"/>
      <c r="Y21" s="22"/>
      <c r="Z21" s="23">
        <f t="shared" si="2"/>
        <v>0</v>
      </c>
      <c r="AA21" s="24"/>
      <c r="AB21" s="78"/>
      <c r="AC21" s="78"/>
      <c r="AD21" s="78"/>
      <c r="AE21" s="78"/>
      <c r="AF21" s="78"/>
      <c r="AG21" s="78"/>
      <c r="AH21" s="3"/>
      <c r="AI21" s="23">
        <f t="shared" si="3"/>
        <v>0</v>
      </c>
      <c r="AJ21" s="7"/>
      <c r="AK21" s="25">
        <f t="shared" si="4"/>
        <v>0</v>
      </c>
      <c r="AL21" s="26">
        <f t="shared" si="5"/>
        <v>0</v>
      </c>
      <c r="AM21" s="26">
        <f t="shared" si="6"/>
        <v>0</v>
      </c>
      <c r="AN21" s="8">
        <v>18</v>
      </c>
    </row>
    <row r="22" spans="1:40">
      <c r="A22" s="17" t="s">
        <v>58</v>
      </c>
      <c r="B22" s="78">
        <v>19</v>
      </c>
      <c r="C22" s="78"/>
      <c r="D22" s="78"/>
      <c r="E22" s="78"/>
      <c r="F22" s="78"/>
      <c r="G22" s="78"/>
      <c r="H22" s="3"/>
      <c r="I22" s="18">
        <f t="shared" si="0"/>
        <v>0</v>
      </c>
      <c r="J22" s="19"/>
      <c r="K22" s="78"/>
      <c r="L22" s="78"/>
      <c r="M22" s="78"/>
      <c r="N22" s="78"/>
      <c r="O22" s="78"/>
      <c r="P22" s="78"/>
      <c r="Q22" s="18">
        <f t="shared" si="7"/>
        <v>0</v>
      </c>
      <c r="R22" s="20"/>
      <c r="S22" s="21"/>
      <c r="T22" s="21"/>
      <c r="U22" s="21"/>
      <c r="V22" s="21"/>
      <c r="W22" s="21"/>
      <c r="X22" s="21"/>
      <c r="Y22" s="22"/>
      <c r="Z22" s="23">
        <f t="shared" si="2"/>
        <v>0</v>
      </c>
      <c r="AA22" s="24"/>
      <c r="AB22" s="78"/>
      <c r="AC22" s="78"/>
      <c r="AD22" s="78"/>
      <c r="AE22" s="78"/>
      <c r="AF22" s="78"/>
      <c r="AG22" s="78"/>
      <c r="AH22" s="3"/>
      <c r="AI22" s="23">
        <f t="shared" si="3"/>
        <v>0</v>
      </c>
      <c r="AJ22" s="7"/>
      <c r="AK22" s="25">
        <f t="shared" si="4"/>
        <v>0</v>
      </c>
      <c r="AL22" s="26">
        <f t="shared" si="5"/>
        <v>0</v>
      </c>
      <c r="AM22" s="26">
        <f t="shared" si="6"/>
        <v>0</v>
      </c>
      <c r="AN22" s="8">
        <v>19</v>
      </c>
    </row>
    <row r="23" spans="1:40">
      <c r="A23" s="17" t="s">
        <v>59</v>
      </c>
      <c r="B23" s="78">
        <v>20</v>
      </c>
      <c r="C23" s="78"/>
      <c r="D23" s="78"/>
      <c r="E23" s="78"/>
      <c r="F23" s="78"/>
      <c r="G23" s="78"/>
      <c r="H23" s="3"/>
      <c r="I23" s="18">
        <f t="shared" si="0"/>
        <v>0</v>
      </c>
      <c r="J23" s="19"/>
      <c r="K23" s="78"/>
      <c r="L23" s="78"/>
      <c r="M23" s="78"/>
      <c r="N23" s="78"/>
      <c r="O23" s="78"/>
      <c r="P23" s="78"/>
      <c r="Q23" s="18">
        <f t="shared" si="7"/>
        <v>0</v>
      </c>
      <c r="R23" s="20"/>
      <c r="S23" s="21"/>
      <c r="T23" s="21"/>
      <c r="U23" s="21"/>
      <c r="V23" s="21"/>
      <c r="W23" s="21"/>
      <c r="X23" s="21"/>
      <c r="Y23" s="22"/>
      <c r="Z23" s="23">
        <f t="shared" si="2"/>
        <v>0</v>
      </c>
      <c r="AA23" s="24"/>
      <c r="AB23" s="78"/>
      <c r="AC23" s="78"/>
      <c r="AD23" s="78"/>
      <c r="AE23" s="78"/>
      <c r="AF23" s="78"/>
      <c r="AG23" s="78"/>
      <c r="AH23" s="3"/>
      <c r="AI23" s="23">
        <f t="shared" si="3"/>
        <v>0</v>
      </c>
      <c r="AJ23" s="7"/>
      <c r="AK23" s="25">
        <f t="shared" si="4"/>
        <v>0</v>
      </c>
      <c r="AL23" s="26">
        <f t="shared" si="5"/>
        <v>0</v>
      </c>
      <c r="AM23" s="26">
        <f t="shared" si="6"/>
        <v>0</v>
      </c>
      <c r="AN23" s="8">
        <v>20</v>
      </c>
    </row>
    <row r="24" spans="1:40">
      <c r="A24" s="17" t="s">
        <v>60</v>
      </c>
      <c r="B24" s="78">
        <v>21</v>
      </c>
      <c r="C24" s="78"/>
      <c r="D24" s="78"/>
      <c r="E24" s="78"/>
      <c r="F24" s="78"/>
      <c r="G24" s="78"/>
      <c r="H24" s="3"/>
      <c r="I24" s="18">
        <f t="shared" si="0"/>
        <v>0</v>
      </c>
      <c r="J24" s="19"/>
      <c r="K24" s="78"/>
      <c r="L24" s="78"/>
      <c r="M24" s="78"/>
      <c r="N24" s="78"/>
      <c r="O24" s="78"/>
      <c r="P24" s="78"/>
      <c r="Q24" s="18">
        <f t="shared" si="7"/>
        <v>0</v>
      </c>
      <c r="R24" s="20"/>
      <c r="S24" s="21"/>
      <c r="T24" s="21"/>
      <c r="U24" s="21"/>
      <c r="V24" s="21"/>
      <c r="W24" s="21"/>
      <c r="X24" s="21"/>
      <c r="Y24" s="22"/>
      <c r="Z24" s="23">
        <f t="shared" si="2"/>
        <v>0</v>
      </c>
      <c r="AA24" s="24"/>
      <c r="AB24" s="78"/>
      <c r="AC24" s="78"/>
      <c r="AD24" s="78"/>
      <c r="AE24" s="78"/>
      <c r="AF24" s="78"/>
      <c r="AG24" s="78"/>
      <c r="AH24" s="3"/>
      <c r="AI24" s="23">
        <f t="shared" si="3"/>
        <v>0</v>
      </c>
      <c r="AJ24" s="7"/>
      <c r="AK24" s="25">
        <f t="shared" si="4"/>
        <v>0</v>
      </c>
      <c r="AL24" s="26">
        <f t="shared" si="5"/>
        <v>0</v>
      </c>
      <c r="AM24" s="26">
        <f t="shared" si="6"/>
        <v>0</v>
      </c>
      <c r="AN24" s="8">
        <v>21</v>
      </c>
    </row>
    <row r="25" spans="1:40">
      <c r="A25" s="17" t="s">
        <v>61</v>
      </c>
      <c r="B25" s="78">
        <v>22</v>
      </c>
      <c r="C25" s="78"/>
      <c r="D25" s="78"/>
      <c r="E25" s="78"/>
      <c r="F25" s="78"/>
      <c r="G25" s="78"/>
      <c r="H25" s="3"/>
      <c r="I25" s="18">
        <f t="shared" si="0"/>
        <v>0</v>
      </c>
      <c r="J25" s="19"/>
      <c r="K25" s="78"/>
      <c r="L25" s="78"/>
      <c r="M25" s="78"/>
      <c r="N25" s="78"/>
      <c r="O25" s="78"/>
      <c r="P25" s="78"/>
      <c r="Q25" s="18">
        <f t="shared" si="7"/>
        <v>0</v>
      </c>
      <c r="R25" s="20"/>
      <c r="S25" s="21"/>
      <c r="T25" s="21"/>
      <c r="U25" s="21"/>
      <c r="V25" s="21"/>
      <c r="W25" s="21"/>
      <c r="X25" s="21"/>
      <c r="Y25" s="22"/>
      <c r="Z25" s="23">
        <f t="shared" si="2"/>
        <v>0</v>
      </c>
      <c r="AA25" s="24"/>
      <c r="AB25" s="78"/>
      <c r="AC25" s="78"/>
      <c r="AD25" s="78"/>
      <c r="AE25" s="78"/>
      <c r="AF25" s="78"/>
      <c r="AG25" s="78"/>
      <c r="AH25" s="3"/>
      <c r="AI25" s="23">
        <f t="shared" si="3"/>
        <v>0</v>
      </c>
      <c r="AJ25" s="7"/>
      <c r="AK25" s="25">
        <f t="shared" si="4"/>
        <v>0</v>
      </c>
      <c r="AL25" s="26">
        <f t="shared" si="5"/>
        <v>0</v>
      </c>
      <c r="AM25" s="26">
        <f t="shared" si="6"/>
        <v>0</v>
      </c>
      <c r="AN25" s="8">
        <v>22</v>
      </c>
    </row>
    <row r="26" spans="1:40">
      <c r="A26" s="17" t="s">
        <v>62</v>
      </c>
      <c r="B26" s="78">
        <v>23</v>
      </c>
      <c r="C26" s="78"/>
      <c r="D26" s="78"/>
      <c r="E26" s="78"/>
      <c r="F26" s="78"/>
      <c r="G26" s="78"/>
      <c r="H26" s="3"/>
      <c r="I26" s="18">
        <f t="shared" si="0"/>
        <v>0</v>
      </c>
      <c r="J26" s="19"/>
      <c r="K26" s="78"/>
      <c r="L26" s="78"/>
      <c r="M26" s="78"/>
      <c r="N26" s="78"/>
      <c r="O26" s="78"/>
      <c r="P26" s="78"/>
      <c r="Q26" s="18">
        <f t="shared" si="7"/>
        <v>0</v>
      </c>
      <c r="R26" s="20"/>
      <c r="S26" s="21"/>
      <c r="T26" s="21"/>
      <c r="U26" s="21"/>
      <c r="V26" s="21"/>
      <c r="W26" s="21"/>
      <c r="X26" s="21"/>
      <c r="Y26" s="22"/>
      <c r="Z26" s="23">
        <f t="shared" si="2"/>
        <v>0</v>
      </c>
      <c r="AA26" s="24"/>
      <c r="AB26" s="78"/>
      <c r="AC26" s="78"/>
      <c r="AD26" s="78"/>
      <c r="AE26" s="78"/>
      <c r="AF26" s="78"/>
      <c r="AG26" s="78"/>
      <c r="AH26" s="3"/>
      <c r="AI26" s="23">
        <f t="shared" si="3"/>
        <v>0</v>
      </c>
      <c r="AJ26" s="7"/>
      <c r="AK26" s="25">
        <f t="shared" si="4"/>
        <v>0</v>
      </c>
      <c r="AL26" s="26">
        <f t="shared" si="5"/>
        <v>0</v>
      </c>
      <c r="AM26" s="26">
        <f t="shared" si="6"/>
        <v>0</v>
      </c>
      <c r="AN26" s="8">
        <v>23</v>
      </c>
    </row>
    <row r="27" spans="1:40">
      <c r="A27" s="17" t="s">
        <v>63</v>
      </c>
      <c r="B27" s="78">
        <v>24</v>
      </c>
      <c r="C27" s="78"/>
      <c r="D27" s="78"/>
      <c r="E27" s="78"/>
      <c r="F27" s="78"/>
      <c r="G27" s="78"/>
      <c r="H27" s="3"/>
      <c r="I27" s="18">
        <f t="shared" si="0"/>
        <v>0</v>
      </c>
      <c r="J27" s="19"/>
      <c r="K27" s="78"/>
      <c r="L27" s="78"/>
      <c r="M27" s="78"/>
      <c r="N27" s="78"/>
      <c r="O27" s="78"/>
      <c r="P27" s="78"/>
      <c r="Q27" s="18">
        <f t="shared" si="7"/>
        <v>0</v>
      </c>
      <c r="R27" s="20"/>
      <c r="S27" s="21"/>
      <c r="T27" s="21"/>
      <c r="U27" s="21"/>
      <c r="V27" s="21"/>
      <c r="W27" s="21"/>
      <c r="X27" s="21"/>
      <c r="Y27" s="22"/>
      <c r="Z27" s="23">
        <f t="shared" si="2"/>
        <v>0</v>
      </c>
      <c r="AA27" s="24"/>
      <c r="AB27" s="78"/>
      <c r="AC27" s="78"/>
      <c r="AD27" s="78"/>
      <c r="AE27" s="78"/>
      <c r="AF27" s="78"/>
      <c r="AG27" s="78"/>
      <c r="AH27" s="3"/>
      <c r="AI27" s="23">
        <f t="shared" si="3"/>
        <v>0</v>
      </c>
      <c r="AJ27" s="7"/>
      <c r="AK27" s="25">
        <f t="shared" si="4"/>
        <v>0</v>
      </c>
      <c r="AL27" s="26">
        <f t="shared" si="5"/>
        <v>0</v>
      </c>
      <c r="AM27" s="26">
        <f t="shared" si="6"/>
        <v>0</v>
      </c>
      <c r="AN27" s="8">
        <v>24</v>
      </c>
    </row>
    <row r="28" spans="1:40">
      <c r="A28" s="17" t="s">
        <v>57</v>
      </c>
      <c r="B28" s="78">
        <v>25</v>
      </c>
      <c r="C28" s="78"/>
      <c r="D28" s="78"/>
      <c r="E28" s="78"/>
      <c r="F28" s="78"/>
      <c r="G28" s="78"/>
      <c r="H28" s="3"/>
      <c r="I28" s="18">
        <f t="shared" si="0"/>
        <v>0</v>
      </c>
      <c r="J28" s="19"/>
      <c r="K28" s="78"/>
      <c r="L28" s="78">
        <v>3</v>
      </c>
      <c r="M28" s="78"/>
      <c r="N28" s="78"/>
      <c r="O28" s="78"/>
      <c r="P28" s="78"/>
      <c r="Q28" s="18">
        <f t="shared" si="7"/>
        <v>3</v>
      </c>
      <c r="R28" s="20"/>
      <c r="S28" s="21">
        <v>18</v>
      </c>
      <c r="T28" s="21">
        <v>3</v>
      </c>
      <c r="U28" s="21">
        <v>2</v>
      </c>
      <c r="V28" s="21">
        <v>7</v>
      </c>
      <c r="W28" s="21">
        <v>1</v>
      </c>
      <c r="X28" s="21">
        <v>2</v>
      </c>
      <c r="Y28" s="22">
        <v>1</v>
      </c>
      <c r="Z28" s="23">
        <f t="shared" si="2"/>
        <v>34</v>
      </c>
      <c r="AA28" s="24"/>
      <c r="AB28" s="78"/>
      <c r="AC28" s="78"/>
      <c r="AD28" s="78"/>
      <c r="AE28" s="78">
        <v>2</v>
      </c>
      <c r="AF28" s="78"/>
      <c r="AG28" s="78"/>
      <c r="AH28" s="3"/>
      <c r="AI28" s="23">
        <f t="shared" si="3"/>
        <v>2</v>
      </c>
      <c r="AJ28" s="7"/>
      <c r="AK28" s="25">
        <f t="shared" si="4"/>
        <v>3</v>
      </c>
      <c r="AL28" s="26">
        <f t="shared" si="5"/>
        <v>36</v>
      </c>
      <c r="AM28" s="26">
        <f t="shared" si="6"/>
        <v>39</v>
      </c>
      <c r="AN28" s="8">
        <v>25</v>
      </c>
    </row>
    <row r="29" spans="1:40">
      <c r="A29" s="17" t="s">
        <v>58</v>
      </c>
      <c r="B29" s="78">
        <v>26</v>
      </c>
      <c r="C29" s="78"/>
      <c r="D29" s="78"/>
      <c r="E29" s="78"/>
      <c r="F29" s="78"/>
      <c r="G29" s="78"/>
      <c r="H29" s="3"/>
      <c r="I29" s="18">
        <f t="shared" si="0"/>
        <v>0</v>
      </c>
      <c r="J29" s="19"/>
      <c r="K29" s="78"/>
      <c r="L29" s="78"/>
      <c r="M29" s="78"/>
      <c r="N29" s="78"/>
      <c r="O29" s="78"/>
      <c r="P29" s="78">
        <v>2</v>
      </c>
      <c r="Q29" s="18">
        <f t="shared" si="7"/>
        <v>2</v>
      </c>
      <c r="R29" s="20"/>
      <c r="S29" s="21"/>
      <c r="T29" s="21"/>
      <c r="U29" s="21"/>
      <c r="V29" s="21"/>
      <c r="W29" s="21"/>
      <c r="X29" s="21"/>
      <c r="Y29" s="22"/>
      <c r="Z29" s="23">
        <f t="shared" si="2"/>
        <v>0</v>
      </c>
      <c r="AA29" s="24"/>
      <c r="AB29" s="78"/>
      <c r="AC29" s="78"/>
      <c r="AD29" s="78"/>
      <c r="AE29" s="78"/>
      <c r="AF29" s="78"/>
      <c r="AG29" s="78"/>
      <c r="AH29" s="3"/>
      <c r="AI29" s="23">
        <f t="shared" si="3"/>
        <v>0</v>
      </c>
      <c r="AJ29" s="7"/>
      <c r="AK29" s="25">
        <f t="shared" si="4"/>
        <v>2</v>
      </c>
      <c r="AL29" s="26">
        <f t="shared" si="5"/>
        <v>0</v>
      </c>
      <c r="AM29" s="26">
        <f t="shared" si="6"/>
        <v>2</v>
      </c>
      <c r="AN29" s="8">
        <v>26</v>
      </c>
    </row>
    <row r="30" spans="1:40">
      <c r="A30" s="17" t="s">
        <v>59</v>
      </c>
      <c r="B30" s="78">
        <v>27</v>
      </c>
      <c r="C30" s="78"/>
      <c r="D30" s="78"/>
      <c r="E30" s="78"/>
      <c r="F30" s="78"/>
      <c r="G30" s="78"/>
      <c r="H30" s="3"/>
      <c r="I30" s="18">
        <f t="shared" si="0"/>
        <v>0</v>
      </c>
      <c r="J30" s="19"/>
      <c r="K30" s="78"/>
      <c r="L30" s="78"/>
      <c r="M30" s="78"/>
      <c r="N30" s="78"/>
      <c r="O30" s="78"/>
      <c r="P30" s="78"/>
      <c r="Q30" s="18">
        <f t="shared" si="7"/>
        <v>0</v>
      </c>
      <c r="R30" s="20"/>
      <c r="S30" s="21"/>
      <c r="T30" s="21"/>
      <c r="U30" s="21"/>
      <c r="V30" s="21"/>
      <c r="W30" s="21"/>
      <c r="X30" s="21"/>
      <c r="Y30" s="22"/>
      <c r="Z30" s="23">
        <f t="shared" si="2"/>
        <v>0</v>
      </c>
      <c r="AA30" s="24"/>
      <c r="AB30" s="78"/>
      <c r="AC30" s="78"/>
      <c r="AD30" s="78"/>
      <c r="AE30" s="78"/>
      <c r="AF30" s="78"/>
      <c r="AG30" s="78"/>
      <c r="AH30" s="3"/>
      <c r="AI30" s="23">
        <f t="shared" si="3"/>
        <v>0</v>
      </c>
      <c r="AJ30" s="7"/>
      <c r="AK30" s="25">
        <f t="shared" si="4"/>
        <v>0</v>
      </c>
      <c r="AL30" s="26">
        <f t="shared" si="5"/>
        <v>0</v>
      </c>
      <c r="AM30" s="26">
        <f t="shared" si="6"/>
        <v>0</v>
      </c>
      <c r="AN30" s="8">
        <v>27</v>
      </c>
    </row>
    <row r="31" spans="1:40">
      <c r="A31" s="17" t="s">
        <v>60</v>
      </c>
      <c r="B31" s="78">
        <v>28</v>
      </c>
      <c r="C31" s="78">
        <v>1</v>
      </c>
      <c r="D31" s="78"/>
      <c r="E31" s="78"/>
      <c r="F31" s="78"/>
      <c r="G31" s="78">
        <v>4</v>
      </c>
      <c r="H31" s="3"/>
      <c r="I31" s="18">
        <f t="shared" si="0"/>
        <v>5</v>
      </c>
      <c r="J31" s="19"/>
      <c r="K31" s="78"/>
      <c r="L31" s="78"/>
      <c r="M31" s="78">
        <v>1</v>
      </c>
      <c r="N31" s="78">
        <v>1</v>
      </c>
      <c r="O31" s="78"/>
      <c r="P31" s="78">
        <v>22</v>
      </c>
      <c r="Q31" s="18">
        <f t="shared" si="7"/>
        <v>24</v>
      </c>
      <c r="R31" s="20"/>
      <c r="S31" s="21">
        <v>3</v>
      </c>
      <c r="T31" s="21">
        <v>7</v>
      </c>
      <c r="U31" s="21"/>
      <c r="V31" s="21">
        <v>2</v>
      </c>
      <c r="W31" s="21">
        <v>2</v>
      </c>
      <c r="X31" s="21">
        <v>2</v>
      </c>
      <c r="Y31" s="22">
        <v>2</v>
      </c>
      <c r="Z31" s="23">
        <f t="shared" si="2"/>
        <v>18</v>
      </c>
      <c r="AA31" s="24"/>
      <c r="AB31" s="78"/>
      <c r="AC31" s="78"/>
      <c r="AD31" s="78"/>
      <c r="AE31" s="78"/>
      <c r="AF31" s="78"/>
      <c r="AG31" s="78"/>
      <c r="AH31" s="3"/>
      <c r="AI31" s="23">
        <f t="shared" si="3"/>
        <v>0</v>
      </c>
      <c r="AJ31" s="7"/>
      <c r="AK31" s="25">
        <f t="shared" si="4"/>
        <v>29</v>
      </c>
      <c r="AL31" s="26">
        <f t="shared" si="5"/>
        <v>18</v>
      </c>
      <c r="AM31" s="26">
        <f t="shared" si="6"/>
        <v>47</v>
      </c>
      <c r="AN31" s="8">
        <v>28</v>
      </c>
    </row>
    <row r="32" spans="1:40">
      <c r="A32" s="17" t="s">
        <v>61</v>
      </c>
      <c r="B32" s="78">
        <v>29</v>
      </c>
      <c r="C32" s="78">
        <v>3</v>
      </c>
      <c r="D32" s="78"/>
      <c r="E32" s="78"/>
      <c r="F32" s="78"/>
      <c r="G32" s="78">
        <v>2</v>
      </c>
      <c r="H32" s="3">
        <v>1</v>
      </c>
      <c r="I32" s="18">
        <f t="shared" si="0"/>
        <v>6</v>
      </c>
      <c r="J32" s="19"/>
      <c r="K32" s="78"/>
      <c r="L32" s="78"/>
      <c r="M32" s="78">
        <v>1</v>
      </c>
      <c r="N32" s="78">
        <v>1</v>
      </c>
      <c r="O32" s="78"/>
      <c r="P32" s="78">
        <v>16</v>
      </c>
      <c r="Q32" s="18">
        <f t="shared" si="7"/>
        <v>18</v>
      </c>
      <c r="R32" s="20"/>
      <c r="S32" s="21">
        <v>5</v>
      </c>
      <c r="T32" s="21">
        <v>5</v>
      </c>
      <c r="U32" s="21">
        <v>4</v>
      </c>
      <c r="V32" s="21"/>
      <c r="W32" s="21">
        <v>1</v>
      </c>
      <c r="X32" s="21"/>
      <c r="Y32" s="22">
        <v>1</v>
      </c>
      <c r="Z32" s="23">
        <f t="shared" si="2"/>
        <v>16</v>
      </c>
      <c r="AA32" s="24"/>
      <c r="AB32" s="78"/>
      <c r="AC32" s="78"/>
      <c r="AD32" s="78"/>
      <c r="AE32" s="78"/>
      <c r="AF32" s="78"/>
      <c r="AG32" s="78"/>
      <c r="AH32" s="3"/>
      <c r="AI32" s="23">
        <f t="shared" si="3"/>
        <v>0</v>
      </c>
      <c r="AJ32" s="7"/>
      <c r="AK32" s="25">
        <f t="shared" si="4"/>
        <v>24</v>
      </c>
      <c r="AL32" s="26">
        <f t="shared" si="5"/>
        <v>16</v>
      </c>
      <c r="AM32" s="26">
        <f t="shared" si="6"/>
        <v>40</v>
      </c>
      <c r="AN32" s="8">
        <v>29</v>
      </c>
    </row>
    <row r="33" spans="1:40">
      <c r="A33" s="17" t="s">
        <v>62</v>
      </c>
      <c r="B33" s="78">
        <v>30</v>
      </c>
      <c r="C33" s="78"/>
      <c r="D33" s="78"/>
      <c r="E33" s="78"/>
      <c r="F33" s="78"/>
      <c r="G33" s="78"/>
      <c r="H33" s="3"/>
      <c r="I33" s="18">
        <f t="shared" si="0"/>
        <v>0</v>
      </c>
      <c r="J33" s="19"/>
      <c r="K33" s="78"/>
      <c r="L33" s="78"/>
      <c r="M33" s="78"/>
      <c r="N33" s="78"/>
      <c r="O33" s="78"/>
      <c r="P33" s="78"/>
      <c r="Q33" s="18">
        <f t="shared" si="7"/>
        <v>0</v>
      </c>
      <c r="R33" s="20"/>
      <c r="S33" s="21"/>
      <c r="T33" s="21"/>
      <c r="U33" s="21"/>
      <c r="V33" s="21"/>
      <c r="W33" s="21"/>
      <c r="X33" s="21"/>
      <c r="Y33" s="22"/>
      <c r="Z33" s="23">
        <f t="shared" si="2"/>
        <v>0</v>
      </c>
      <c r="AA33" s="24"/>
      <c r="AB33" s="78"/>
      <c r="AC33" s="78"/>
      <c r="AD33" s="78"/>
      <c r="AE33" s="78"/>
      <c r="AF33" s="78"/>
      <c r="AG33" s="78"/>
      <c r="AH33" s="3"/>
      <c r="AI33" s="23">
        <f t="shared" si="3"/>
        <v>0</v>
      </c>
      <c r="AJ33" s="7"/>
      <c r="AK33" s="25">
        <f t="shared" si="4"/>
        <v>0</v>
      </c>
      <c r="AL33" s="26">
        <f t="shared" si="5"/>
        <v>0</v>
      </c>
      <c r="AM33" s="26">
        <f t="shared" si="6"/>
        <v>0</v>
      </c>
      <c r="AN33" s="8">
        <v>30</v>
      </c>
    </row>
    <row r="34" spans="1:40">
      <c r="A34" s="17" t="s">
        <v>63</v>
      </c>
      <c r="B34" s="78">
        <v>31</v>
      </c>
      <c r="C34" s="10"/>
      <c r="D34" s="10"/>
      <c r="E34" s="10"/>
      <c r="F34" s="10"/>
      <c r="G34" s="10"/>
      <c r="H34" s="11"/>
      <c r="I34" s="27">
        <f t="shared" si="0"/>
        <v>0</v>
      </c>
      <c r="J34" s="4"/>
      <c r="K34" s="68"/>
      <c r="L34" s="10"/>
      <c r="M34" s="10"/>
      <c r="N34" s="10"/>
      <c r="O34" s="10"/>
      <c r="P34" s="10"/>
      <c r="Q34" s="27">
        <f t="shared" si="7"/>
        <v>0</v>
      </c>
      <c r="R34" s="20"/>
      <c r="S34" s="28"/>
      <c r="T34" s="28"/>
      <c r="U34" s="28"/>
      <c r="V34" s="28"/>
      <c r="W34" s="28"/>
      <c r="X34" s="28"/>
      <c r="Y34" s="29"/>
      <c r="Z34" s="30">
        <f t="shared" si="2"/>
        <v>0</v>
      </c>
      <c r="AA34" s="24"/>
      <c r="AB34" s="78"/>
      <c r="AC34" s="78"/>
      <c r="AD34" s="78"/>
      <c r="AE34" s="78"/>
      <c r="AF34" s="78"/>
      <c r="AG34" s="78"/>
      <c r="AH34" s="3"/>
      <c r="AI34" s="23">
        <f t="shared" si="3"/>
        <v>0</v>
      </c>
      <c r="AJ34" s="7"/>
      <c r="AK34" s="25">
        <f t="shared" si="4"/>
        <v>0</v>
      </c>
      <c r="AL34" s="26">
        <f t="shared" si="5"/>
        <v>0</v>
      </c>
      <c r="AM34" s="26">
        <f t="shared" si="6"/>
        <v>0</v>
      </c>
      <c r="AN34" s="8">
        <v>31</v>
      </c>
    </row>
    <row r="35" spans="1:40" ht="20.25" customHeight="1">
      <c r="A35" s="31"/>
      <c r="B35" s="32"/>
      <c r="C35" s="33">
        <f t="shared" ref="C35:I35" si="8">SUM(C4:C34)</f>
        <v>4</v>
      </c>
      <c r="D35" s="34">
        <f t="shared" si="8"/>
        <v>0</v>
      </c>
      <c r="E35" s="34">
        <f t="shared" si="8"/>
        <v>0</v>
      </c>
      <c r="F35" s="34">
        <f t="shared" si="8"/>
        <v>0</v>
      </c>
      <c r="G35" s="34">
        <f t="shared" si="8"/>
        <v>6</v>
      </c>
      <c r="H35" s="34">
        <f t="shared" si="8"/>
        <v>1</v>
      </c>
      <c r="I35" s="35">
        <f t="shared" si="8"/>
        <v>11</v>
      </c>
      <c r="J35" s="36"/>
      <c r="K35" s="33">
        <f t="shared" ref="K35:Q35" si="9">SUM(K4:K34)</f>
        <v>0</v>
      </c>
      <c r="L35" s="34">
        <f t="shared" si="9"/>
        <v>3</v>
      </c>
      <c r="M35" s="34">
        <f t="shared" si="9"/>
        <v>2</v>
      </c>
      <c r="N35" s="34">
        <f t="shared" si="9"/>
        <v>2</v>
      </c>
      <c r="O35" s="34">
        <f t="shared" si="9"/>
        <v>0</v>
      </c>
      <c r="P35" s="34">
        <f t="shared" si="9"/>
        <v>40</v>
      </c>
      <c r="Q35" s="35">
        <f t="shared" si="9"/>
        <v>47</v>
      </c>
      <c r="R35" s="7"/>
      <c r="S35" s="33">
        <f t="shared" ref="S35:Z35" si="10">SUM(S4:S34)</f>
        <v>26</v>
      </c>
      <c r="T35" s="34">
        <f t="shared" si="10"/>
        <v>15</v>
      </c>
      <c r="U35" s="34">
        <f t="shared" si="10"/>
        <v>6</v>
      </c>
      <c r="V35" s="34">
        <f t="shared" si="10"/>
        <v>9</v>
      </c>
      <c r="W35" s="34">
        <f t="shared" si="10"/>
        <v>4</v>
      </c>
      <c r="X35" s="34">
        <f t="shared" si="10"/>
        <v>4</v>
      </c>
      <c r="Y35" s="34">
        <f t="shared" si="10"/>
        <v>4</v>
      </c>
      <c r="Z35" s="34">
        <f t="shared" si="10"/>
        <v>68</v>
      </c>
      <c r="AA35" s="37"/>
      <c r="AB35" s="33">
        <f t="shared" ref="AB35:AI35" si="11">SUM(AB4:AB34)</f>
        <v>0</v>
      </c>
      <c r="AC35" s="38">
        <f t="shared" si="11"/>
        <v>0</v>
      </c>
      <c r="AD35" s="38">
        <f t="shared" si="11"/>
        <v>0</v>
      </c>
      <c r="AE35" s="38">
        <f t="shared" si="11"/>
        <v>2</v>
      </c>
      <c r="AF35" s="38">
        <f t="shared" si="11"/>
        <v>0</v>
      </c>
      <c r="AG35" s="38">
        <f t="shared" si="11"/>
        <v>0</v>
      </c>
      <c r="AH35" s="38">
        <f t="shared" si="11"/>
        <v>0</v>
      </c>
      <c r="AI35" s="35">
        <f t="shared" si="11"/>
        <v>2</v>
      </c>
      <c r="AJ35" s="7"/>
      <c r="AK35" s="33">
        <f>SUM(AK4:AK34)</f>
        <v>58</v>
      </c>
      <c r="AL35" s="34">
        <f>SUM(AL4:AL34)</f>
        <v>70</v>
      </c>
      <c r="AM35" s="34">
        <f>SUM(AM4:AM34)</f>
        <v>128</v>
      </c>
      <c r="AN35" s="39"/>
    </row>
    <row r="36" spans="1:40">
      <c r="R36" s="40"/>
      <c r="AA36" s="41"/>
      <c r="AJ36" s="40"/>
    </row>
    <row r="37" spans="1:40">
      <c r="M37" s="79"/>
      <c r="N37" s="79"/>
      <c r="O37" s="79"/>
      <c r="P37" s="79"/>
      <c r="Q37" s="79"/>
      <c r="R37" s="79"/>
      <c r="S37" s="79"/>
      <c r="AA37" s="123" t="s">
        <v>66</v>
      </c>
      <c r="AB37" s="113"/>
      <c r="AC37" s="113"/>
      <c r="AD37" s="113"/>
      <c r="AE37" s="113"/>
      <c r="AF37" s="113"/>
      <c r="AG37" s="118"/>
    </row>
    <row r="38" spans="1:40">
      <c r="D38" s="122" t="s">
        <v>67</v>
      </c>
      <c r="E38" s="107"/>
      <c r="F38" s="107"/>
      <c r="K38" s="42"/>
      <c r="L38" s="42"/>
      <c r="T38" s="42"/>
      <c r="U38" s="42"/>
      <c r="AA38" s="108" t="s">
        <v>70</v>
      </c>
      <c r="AB38" s="107"/>
      <c r="AC38" s="77">
        <v>5</v>
      </c>
      <c r="AD38" s="43"/>
      <c r="AE38" s="69" t="s">
        <v>71</v>
      </c>
      <c r="AF38" s="77">
        <v>1</v>
      </c>
      <c r="AG38" s="44"/>
    </row>
    <row r="39" spans="1:40">
      <c r="K39" s="45"/>
      <c r="L39" s="42"/>
      <c r="M39" s="143" t="s">
        <v>290</v>
      </c>
      <c r="N39" s="144"/>
      <c r="O39" s="144"/>
      <c r="P39" s="144"/>
      <c r="Q39" s="144"/>
      <c r="R39" s="144"/>
      <c r="S39" s="144"/>
      <c r="T39" s="42"/>
      <c r="U39" s="46"/>
      <c r="AA39" s="60"/>
      <c r="AC39" s="77">
        <v>2</v>
      </c>
      <c r="AD39" s="43"/>
      <c r="AF39" s="77">
        <v>2</v>
      </c>
      <c r="AG39" s="44"/>
    </row>
    <row r="40" spans="1:40" ht="21" customHeight="1">
      <c r="E40" s="124" t="s">
        <v>74</v>
      </c>
      <c r="F40" s="113"/>
      <c r="G40" s="130" t="s">
        <v>75</v>
      </c>
      <c r="H40" s="113"/>
      <c r="I40" s="47">
        <v>114</v>
      </c>
      <c r="K40" s="48" t="s">
        <v>68</v>
      </c>
      <c r="L40" s="78"/>
      <c r="M40" s="78"/>
      <c r="N40" s="78"/>
      <c r="P40" s="49">
        <v>2</v>
      </c>
      <c r="AA40" s="60"/>
      <c r="AC40" s="77">
        <v>3</v>
      </c>
      <c r="AD40" s="43"/>
      <c r="AF40" s="77">
        <v>3</v>
      </c>
      <c r="AG40" s="44"/>
      <c r="AK40" s="114" t="s">
        <v>78</v>
      </c>
      <c r="AL40" s="115"/>
      <c r="AM40" s="116"/>
    </row>
    <row r="41" spans="1:40" ht="18" customHeight="1">
      <c r="E41" s="125"/>
      <c r="F41" s="107"/>
      <c r="G41" s="109" t="s">
        <v>79</v>
      </c>
      <c r="H41" s="107"/>
      <c r="I41" s="50">
        <v>9</v>
      </c>
      <c r="K41" s="60" t="s">
        <v>72</v>
      </c>
      <c r="L41" s="78"/>
      <c r="M41" s="78"/>
      <c r="N41" s="78"/>
      <c r="P41" s="49"/>
      <c r="W41" s="51" t="s">
        <v>65</v>
      </c>
      <c r="X41" s="52"/>
      <c r="Y41" s="52"/>
      <c r="Z41" s="53"/>
      <c r="AA41" s="60"/>
      <c r="AC41" s="77">
        <v>4</v>
      </c>
      <c r="AD41" s="43"/>
      <c r="AF41" s="77">
        <v>4</v>
      </c>
      <c r="AG41" s="44"/>
      <c r="AK41" s="54" t="s">
        <v>82</v>
      </c>
      <c r="AL41" s="55"/>
      <c r="AM41" s="56">
        <f>AK35</f>
        <v>58</v>
      </c>
    </row>
    <row r="42" spans="1:40" ht="20.25" customHeight="1">
      <c r="E42" s="125"/>
      <c r="F42" s="107"/>
      <c r="G42" s="109" t="s">
        <v>83</v>
      </c>
      <c r="H42" s="107"/>
      <c r="I42" s="50"/>
      <c r="K42" s="60" t="s">
        <v>76</v>
      </c>
      <c r="L42" s="78"/>
      <c r="M42" s="78"/>
      <c r="N42" s="78"/>
      <c r="P42" s="49"/>
      <c r="W42" s="60" t="s">
        <v>69</v>
      </c>
      <c r="Z42" s="50"/>
      <c r="AA42" s="60"/>
      <c r="AC42" s="77">
        <v>5</v>
      </c>
      <c r="AD42" s="43"/>
      <c r="AF42" s="77">
        <v>5</v>
      </c>
      <c r="AG42" s="44"/>
      <c r="AK42" s="57" t="s">
        <v>86</v>
      </c>
      <c r="AL42" s="58"/>
      <c r="AM42" s="59">
        <f>AL35</f>
        <v>70</v>
      </c>
    </row>
    <row r="43" spans="1:40" ht="20.25" customHeight="1">
      <c r="E43" s="125"/>
      <c r="F43" s="107"/>
      <c r="G43" s="106" t="s">
        <v>87</v>
      </c>
      <c r="H43" s="107"/>
      <c r="I43" s="50">
        <v>2</v>
      </c>
      <c r="K43" s="60" t="s">
        <v>80</v>
      </c>
      <c r="L43" s="78"/>
      <c r="M43" s="78"/>
      <c r="N43" s="78"/>
      <c r="P43" s="49"/>
      <c r="W43" s="60" t="s">
        <v>73</v>
      </c>
      <c r="Z43" s="50"/>
      <c r="AA43" s="60"/>
      <c r="AC43" s="77">
        <v>6</v>
      </c>
      <c r="AD43" s="43"/>
      <c r="AF43" s="77">
        <v>6</v>
      </c>
      <c r="AG43" s="44"/>
      <c r="AK43" s="61" t="s">
        <v>90</v>
      </c>
      <c r="AL43" s="62"/>
      <c r="AM43" s="63">
        <f>AD69+AG69</f>
        <v>3</v>
      </c>
    </row>
    <row r="44" spans="1:40" ht="20.25" customHeight="1">
      <c r="E44" s="125"/>
      <c r="F44" s="107"/>
      <c r="G44" s="106" t="s">
        <v>91</v>
      </c>
      <c r="H44" s="107"/>
      <c r="I44" s="50"/>
      <c r="K44" s="60" t="s">
        <v>84</v>
      </c>
      <c r="L44" s="78"/>
      <c r="M44" s="78"/>
      <c r="N44" s="78"/>
      <c r="P44" s="49">
        <v>1</v>
      </c>
      <c r="W44" s="60" t="s">
        <v>77</v>
      </c>
      <c r="Z44" s="50">
        <v>9</v>
      </c>
      <c r="AA44" s="60"/>
      <c r="AC44" s="77">
        <v>7</v>
      </c>
      <c r="AD44" s="43"/>
      <c r="AF44" s="77">
        <v>7</v>
      </c>
      <c r="AG44" s="44"/>
      <c r="AK44" s="126" t="s">
        <v>36</v>
      </c>
      <c r="AL44" s="127"/>
      <c r="AM44" s="64">
        <f>AM41+AM42+AM43</f>
        <v>131</v>
      </c>
    </row>
    <row r="45" spans="1:40">
      <c r="E45" s="60"/>
      <c r="G45" s="77" t="s">
        <v>94</v>
      </c>
      <c r="I45" s="50">
        <v>2</v>
      </c>
      <c r="K45" s="60" t="s">
        <v>88</v>
      </c>
      <c r="L45" s="78"/>
      <c r="M45" s="78"/>
      <c r="N45" s="78"/>
      <c r="P45" s="49"/>
      <c r="W45" s="60" t="s">
        <v>81</v>
      </c>
      <c r="Z45" s="50"/>
      <c r="AA45" s="60"/>
      <c r="AC45" s="77">
        <v>8</v>
      </c>
      <c r="AD45" s="43"/>
      <c r="AF45" s="77">
        <v>8</v>
      </c>
      <c r="AG45" s="44"/>
    </row>
    <row r="46" spans="1:40">
      <c r="E46" s="60"/>
      <c r="G46" s="77" t="s">
        <v>97</v>
      </c>
      <c r="I46" s="50"/>
      <c r="K46" s="60" t="s">
        <v>92</v>
      </c>
      <c r="L46" s="78"/>
      <c r="M46" s="78"/>
      <c r="N46" s="78"/>
      <c r="P46" s="49"/>
      <c r="W46" s="60" t="s">
        <v>85</v>
      </c>
      <c r="Z46" s="50"/>
      <c r="AA46" s="60"/>
      <c r="AC46" s="77">
        <v>9</v>
      </c>
      <c r="AD46" s="43"/>
      <c r="AF46" s="77">
        <v>9</v>
      </c>
      <c r="AG46" s="44"/>
    </row>
    <row r="47" spans="1:40" ht="18" customHeight="1">
      <c r="E47" s="60"/>
      <c r="G47" s="77" t="s">
        <v>100</v>
      </c>
      <c r="I47" s="50">
        <v>2</v>
      </c>
      <c r="K47" s="60" t="s">
        <v>95</v>
      </c>
      <c r="L47" s="78"/>
      <c r="M47" s="78"/>
      <c r="N47" s="78"/>
      <c r="P47" s="49"/>
      <c r="W47" s="60" t="s">
        <v>89</v>
      </c>
      <c r="Z47" s="50">
        <v>2</v>
      </c>
      <c r="AA47" s="60"/>
      <c r="AC47" s="77">
        <v>10</v>
      </c>
      <c r="AD47" s="43"/>
      <c r="AF47" s="77">
        <v>10</v>
      </c>
      <c r="AG47" s="44"/>
    </row>
    <row r="48" spans="1:40">
      <c r="E48" s="60"/>
      <c r="G48" s="77" t="s">
        <v>103</v>
      </c>
      <c r="I48" s="50">
        <v>2</v>
      </c>
      <c r="K48" s="48" t="s">
        <v>98</v>
      </c>
      <c r="L48" s="78"/>
      <c r="M48" s="78"/>
      <c r="N48" s="78"/>
      <c r="P48" s="49"/>
      <c r="W48" s="60" t="s">
        <v>93</v>
      </c>
      <c r="Z48" s="50">
        <v>5</v>
      </c>
      <c r="AA48" s="60"/>
      <c r="AC48" s="77">
        <v>11</v>
      </c>
      <c r="AD48" s="43"/>
      <c r="AF48" s="77">
        <v>11</v>
      </c>
      <c r="AG48" s="44"/>
    </row>
    <row r="49" spans="5:33">
      <c r="E49" s="60"/>
      <c r="G49" s="77" t="s">
        <v>106</v>
      </c>
      <c r="I49" s="50"/>
      <c r="K49" s="60" t="s">
        <v>101</v>
      </c>
      <c r="L49" s="78"/>
      <c r="M49" s="78"/>
      <c r="N49" s="78"/>
      <c r="P49" s="49"/>
      <c r="W49" s="60" t="s">
        <v>96</v>
      </c>
      <c r="Z49" s="50">
        <v>11</v>
      </c>
      <c r="AA49" s="60"/>
      <c r="AC49" s="77">
        <v>12</v>
      </c>
      <c r="AD49" s="43"/>
      <c r="AF49" s="77">
        <v>12</v>
      </c>
      <c r="AG49" s="44"/>
    </row>
    <row r="50" spans="5:33">
      <c r="E50" s="60"/>
      <c r="G50" s="77" t="s">
        <v>109</v>
      </c>
      <c r="I50" s="50"/>
      <c r="K50" s="60" t="s">
        <v>104</v>
      </c>
      <c r="L50" s="78"/>
      <c r="M50" s="78"/>
      <c r="N50" s="78"/>
      <c r="P50" s="49"/>
      <c r="W50" s="60" t="s">
        <v>99</v>
      </c>
      <c r="Z50" s="50"/>
      <c r="AA50" s="60"/>
      <c r="AC50" s="77">
        <v>13</v>
      </c>
      <c r="AD50" s="43"/>
      <c r="AF50" s="77">
        <v>13</v>
      </c>
      <c r="AG50" s="44"/>
    </row>
    <row r="51" spans="5:33">
      <c r="G51" s="77" t="s">
        <v>112</v>
      </c>
      <c r="K51" s="60" t="s">
        <v>107</v>
      </c>
      <c r="L51" s="78"/>
      <c r="M51" s="78"/>
      <c r="N51" s="78"/>
      <c r="P51" s="49"/>
      <c r="W51" s="60" t="s">
        <v>102</v>
      </c>
      <c r="Z51" s="50">
        <v>10</v>
      </c>
      <c r="AA51" s="60"/>
      <c r="AC51" s="77">
        <v>14</v>
      </c>
      <c r="AD51" s="43"/>
      <c r="AF51" s="77">
        <v>14</v>
      </c>
      <c r="AG51" s="44"/>
    </row>
    <row r="52" spans="5:33">
      <c r="G52" s="77" t="s">
        <v>115</v>
      </c>
      <c r="K52" s="60" t="s">
        <v>110</v>
      </c>
      <c r="L52" s="78"/>
      <c r="M52" s="78"/>
      <c r="N52" s="78"/>
      <c r="P52" s="49"/>
      <c r="W52" s="60" t="s">
        <v>105</v>
      </c>
      <c r="Z52" s="50"/>
      <c r="AA52" s="60"/>
      <c r="AC52" s="77">
        <v>15</v>
      </c>
      <c r="AD52" s="43"/>
      <c r="AF52" s="77">
        <v>15</v>
      </c>
      <c r="AG52" s="44"/>
    </row>
    <row r="53" spans="5:33">
      <c r="G53" s="77" t="s">
        <v>118</v>
      </c>
      <c r="K53" s="60" t="s">
        <v>113</v>
      </c>
      <c r="L53" s="78"/>
      <c r="M53" s="78"/>
      <c r="N53" s="78"/>
      <c r="P53" s="49"/>
      <c r="W53" s="60" t="s">
        <v>108</v>
      </c>
      <c r="Z53" s="50"/>
      <c r="AA53" s="60"/>
      <c r="AC53" s="77">
        <v>16</v>
      </c>
      <c r="AD53" s="43"/>
      <c r="AF53" s="77">
        <v>16</v>
      </c>
      <c r="AG53" s="44"/>
    </row>
    <row r="54" spans="5:33">
      <c r="K54" s="60" t="s">
        <v>116</v>
      </c>
      <c r="L54" s="78"/>
      <c r="M54" s="78"/>
      <c r="N54" s="78"/>
      <c r="P54" s="49"/>
      <c r="W54" s="60" t="s">
        <v>111</v>
      </c>
      <c r="Z54" s="50"/>
      <c r="AA54" s="60"/>
      <c r="AC54" s="77">
        <v>17</v>
      </c>
      <c r="AD54" s="43"/>
      <c r="AF54" s="77">
        <v>17</v>
      </c>
      <c r="AG54" s="44"/>
    </row>
    <row r="55" spans="5:33">
      <c r="K55" s="48" t="s">
        <v>119</v>
      </c>
      <c r="L55" s="78"/>
      <c r="M55" s="78"/>
      <c r="N55" s="78"/>
      <c r="P55" s="49"/>
      <c r="W55" s="60" t="s">
        <v>114</v>
      </c>
      <c r="Z55" s="50"/>
      <c r="AA55" s="60"/>
      <c r="AC55" s="77">
        <v>18</v>
      </c>
      <c r="AD55" s="43"/>
      <c r="AF55" s="77">
        <v>18</v>
      </c>
      <c r="AG55" s="44"/>
    </row>
    <row r="56" spans="5:33">
      <c r="K56" s="60" t="s">
        <v>121</v>
      </c>
      <c r="L56" s="78"/>
      <c r="M56" s="78"/>
      <c r="N56" s="78"/>
      <c r="P56" s="49"/>
      <c r="W56" s="60" t="s">
        <v>117</v>
      </c>
      <c r="Z56" s="50">
        <v>1</v>
      </c>
      <c r="AA56" s="60"/>
      <c r="AC56" s="77">
        <v>19</v>
      </c>
      <c r="AD56" s="43"/>
      <c r="AF56" s="77">
        <v>19</v>
      </c>
      <c r="AG56" s="44"/>
    </row>
    <row r="57" spans="5:33">
      <c r="K57" s="48" t="s">
        <v>123</v>
      </c>
      <c r="L57" s="78"/>
      <c r="M57" s="78"/>
      <c r="N57" s="78"/>
      <c r="P57" s="49"/>
      <c r="W57" s="60" t="s">
        <v>120</v>
      </c>
      <c r="Z57" s="50"/>
      <c r="AA57" s="60"/>
      <c r="AC57" s="77">
        <v>20</v>
      </c>
      <c r="AD57" s="43"/>
      <c r="AF57" s="77">
        <v>20</v>
      </c>
      <c r="AG57" s="44"/>
    </row>
    <row r="58" spans="5:33">
      <c r="K58" s="60" t="s">
        <v>125</v>
      </c>
      <c r="L58" s="78"/>
      <c r="M58" s="78"/>
      <c r="N58" s="78"/>
      <c r="P58" s="49"/>
      <c r="W58" s="60" t="s">
        <v>122</v>
      </c>
      <c r="Z58" s="50"/>
      <c r="AA58" s="60"/>
      <c r="AC58" s="77">
        <v>21</v>
      </c>
      <c r="AD58" s="43"/>
      <c r="AF58" s="77">
        <v>21</v>
      </c>
      <c r="AG58" s="44"/>
    </row>
    <row r="59" spans="5:33">
      <c r="K59" s="60" t="s">
        <v>127</v>
      </c>
      <c r="L59" s="78"/>
      <c r="M59" s="78"/>
      <c r="N59" s="78"/>
      <c r="P59" s="49"/>
      <c r="W59" s="60" t="s">
        <v>124</v>
      </c>
      <c r="Z59" s="50">
        <v>36</v>
      </c>
      <c r="AA59" s="60"/>
      <c r="AC59" s="77">
        <v>22</v>
      </c>
      <c r="AD59" s="43"/>
      <c r="AF59" s="77">
        <v>22</v>
      </c>
      <c r="AG59" s="44"/>
    </row>
    <row r="60" spans="5:33">
      <c r="K60" s="48" t="s">
        <v>129</v>
      </c>
      <c r="L60" s="78"/>
      <c r="M60" s="78"/>
      <c r="N60" s="78"/>
      <c r="P60" s="49"/>
      <c r="W60" s="60" t="s">
        <v>126</v>
      </c>
      <c r="Z60" s="50">
        <v>36</v>
      </c>
      <c r="AA60" s="60"/>
      <c r="AC60" s="77">
        <v>23</v>
      </c>
      <c r="AD60" s="43"/>
      <c r="AF60" s="77">
        <v>23</v>
      </c>
      <c r="AG60" s="44"/>
    </row>
    <row r="61" spans="5:33">
      <c r="K61" s="60" t="s">
        <v>131</v>
      </c>
      <c r="L61" s="78"/>
      <c r="M61" s="78"/>
      <c r="N61" s="78"/>
      <c r="P61" s="49">
        <v>1</v>
      </c>
      <c r="W61" s="60" t="s">
        <v>128</v>
      </c>
      <c r="Y61" s="65"/>
      <c r="Z61" s="50">
        <v>5</v>
      </c>
      <c r="AA61" s="60"/>
      <c r="AC61" s="77">
        <v>24</v>
      </c>
      <c r="AD61" s="43"/>
      <c r="AF61" s="77">
        <v>24</v>
      </c>
      <c r="AG61" s="44"/>
    </row>
    <row r="62" spans="5:33">
      <c r="K62" s="48" t="s">
        <v>133</v>
      </c>
      <c r="L62" s="78"/>
      <c r="M62" s="78"/>
      <c r="N62" s="78"/>
      <c r="P62" s="49"/>
      <c r="W62" s="60" t="s">
        <v>130</v>
      </c>
      <c r="Z62" s="50"/>
      <c r="AA62" s="60"/>
      <c r="AC62" s="77">
        <v>25</v>
      </c>
      <c r="AD62" s="43">
        <v>3</v>
      </c>
      <c r="AF62" s="77">
        <v>25</v>
      </c>
      <c r="AG62" s="44"/>
    </row>
    <row r="63" spans="5:33">
      <c r="K63" s="60" t="s">
        <v>135</v>
      </c>
      <c r="L63" s="78"/>
      <c r="M63" s="78"/>
      <c r="N63" s="78"/>
      <c r="P63" s="49"/>
      <c r="W63" s="60" t="s">
        <v>132</v>
      </c>
      <c r="Y63" s="65"/>
      <c r="Z63" s="50"/>
      <c r="AA63" s="60"/>
      <c r="AC63" s="77">
        <v>26</v>
      </c>
      <c r="AD63" s="43"/>
      <c r="AF63" s="77">
        <v>26</v>
      </c>
      <c r="AG63" s="44"/>
    </row>
    <row r="64" spans="5:33">
      <c r="K64" s="60" t="s">
        <v>137</v>
      </c>
      <c r="L64" s="78"/>
      <c r="M64" s="78"/>
      <c r="N64" s="78"/>
      <c r="P64" s="49"/>
      <c r="W64" s="60" t="s">
        <v>134</v>
      </c>
      <c r="Z64" s="50">
        <v>2</v>
      </c>
      <c r="AA64" s="60"/>
      <c r="AC64" s="77">
        <v>27</v>
      </c>
      <c r="AD64" s="43"/>
      <c r="AF64" s="77">
        <v>27</v>
      </c>
      <c r="AG64" s="44"/>
    </row>
    <row r="65" spans="11:33" ht="18.600000000000001" customHeight="1">
      <c r="K65" s="48" t="s">
        <v>138</v>
      </c>
      <c r="L65" s="78"/>
      <c r="M65" s="78"/>
      <c r="N65" s="78"/>
      <c r="P65" s="49"/>
      <c r="W65" s="45" t="s">
        <v>136</v>
      </c>
      <c r="X65" s="42"/>
      <c r="Y65" s="42"/>
      <c r="Z65" s="46">
        <v>13</v>
      </c>
      <c r="AA65" s="60"/>
      <c r="AC65" s="77">
        <v>28</v>
      </c>
      <c r="AD65" s="43"/>
      <c r="AF65" s="77">
        <v>28</v>
      </c>
      <c r="AG65" s="44"/>
    </row>
    <row r="66" spans="11:33">
      <c r="K66" s="60" t="s">
        <v>139</v>
      </c>
      <c r="L66" s="78"/>
      <c r="M66" s="78"/>
      <c r="N66" s="78"/>
      <c r="P66" s="49"/>
      <c r="AA66" s="60"/>
      <c r="AC66" s="77">
        <v>29</v>
      </c>
      <c r="AD66" s="43"/>
      <c r="AF66" s="77">
        <v>29</v>
      </c>
      <c r="AG66" s="44"/>
    </row>
    <row r="67" spans="11:33">
      <c r="K67" s="48" t="s">
        <v>140</v>
      </c>
      <c r="L67" s="78"/>
      <c r="M67" s="78"/>
      <c r="N67" s="78"/>
      <c r="P67" s="49"/>
      <c r="AA67" s="60"/>
      <c r="AC67" s="77">
        <v>30</v>
      </c>
      <c r="AD67" s="43"/>
      <c r="AF67" s="77">
        <v>30</v>
      </c>
      <c r="AG67" s="44"/>
    </row>
    <row r="68" spans="11:33" ht="20.45" customHeight="1">
      <c r="K68" s="60" t="s">
        <v>141</v>
      </c>
      <c r="L68" s="78"/>
      <c r="M68" s="78"/>
      <c r="N68" s="78"/>
      <c r="P68" s="49"/>
      <c r="AA68" s="60"/>
      <c r="AC68" s="77">
        <v>31</v>
      </c>
      <c r="AD68" s="43"/>
      <c r="AF68" s="77">
        <v>31</v>
      </c>
      <c r="AG68" s="44"/>
    </row>
    <row r="69" spans="11:33">
      <c r="K69" s="60" t="s">
        <v>142</v>
      </c>
      <c r="L69" s="78"/>
      <c r="M69" s="78"/>
      <c r="N69" s="78"/>
      <c r="P69" s="49"/>
      <c r="AA69" s="45"/>
      <c r="AB69" s="42"/>
      <c r="AC69" s="42" t="s">
        <v>47</v>
      </c>
      <c r="AD69" s="66">
        <f>SUM(AD38:AD67)</f>
        <v>3</v>
      </c>
      <c r="AE69" s="42"/>
      <c r="AF69" s="42" t="s">
        <v>47</v>
      </c>
      <c r="AG69" s="67">
        <f>SUM(AG38:AG67)</f>
        <v>0</v>
      </c>
    </row>
    <row r="70" spans="11:33">
      <c r="K70" s="60" t="s">
        <v>143</v>
      </c>
      <c r="L70" s="78"/>
      <c r="M70" s="78"/>
      <c r="N70" s="78"/>
      <c r="P70" s="49"/>
    </row>
    <row r="71" spans="11:33">
      <c r="K71" s="60" t="s">
        <v>143</v>
      </c>
      <c r="L71" s="78"/>
      <c r="M71" s="78"/>
      <c r="N71" s="78"/>
      <c r="P71" s="49"/>
    </row>
    <row r="72" spans="11:33">
      <c r="K72" s="60" t="s">
        <v>144</v>
      </c>
      <c r="P72" s="49"/>
    </row>
    <row r="73" spans="11:33">
      <c r="K73" s="60" t="s">
        <v>145</v>
      </c>
      <c r="P73" s="49"/>
    </row>
    <row r="74" spans="11:33" ht="18" customHeight="1">
      <c r="K74" s="48" t="s">
        <v>146</v>
      </c>
      <c r="P74" s="49"/>
    </row>
    <row r="75" spans="11:33">
      <c r="K75" s="60" t="s">
        <v>147</v>
      </c>
      <c r="P75" s="49"/>
    </row>
    <row r="76" spans="11:33">
      <c r="K76" s="60" t="s">
        <v>148</v>
      </c>
      <c r="P76" s="49"/>
    </row>
    <row r="77" spans="11:33">
      <c r="K77" s="60" t="s">
        <v>149</v>
      </c>
      <c r="P77" s="49">
        <v>2</v>
      </c>
    </row>
    <row r="78" spans="11:33">
      <c r="K78" s="48" t="s">
        <v>150</v>
      </c>
      <c r="P78" s="49">
        <v>2</v>
      </c>
    </row>
    <row r="79" spans="11:33">
      <c r="K79" s="60" t="s">
        <v>151</v>
      </c>
      <c r="P79" s="49"/>
    </row>
    <row r="80" spans="11:33">
      <c r="K80" s="60" t="s">
        <v>152</v>
      </c>
      <c r="P80" s="49">
        <v>1</v>
      </c>
    </row>
    <row r="81" spans="11:16">
      <c r="K81" s="60" t="s">
        <v>153</v>
      </c>
      <c r="P81" s="49"/>
    </row>
    <row r="82" spans="11:16">
      <c r="K82" s="60" t="s">
        <v>154</v>
      </c>
      <c r="P82" s="49"/>
    </row>
    <row r="83" spans="11:16">
      <c r="K83" s="60" t="s">
        <v>155</v>
      </c>
      <c r="P83" s="49"/>
    </row>
    <row r="84" spans="11:16">
      <c r="K84" s="60" t="s">
        <v>156</v>
      </c>
      <c r="P84" s="49"/>
    </row>
    <row r="85" spans="11:16">
      <c r="K85" s="60" t="s">
        <v>157</v>
      </c>
      <c r="P85" s="49"/>
    </row>
    <row r="86" spans="11:16">
      <c r="K86" s="60" t="s">
        <v>158</v>
      </c>
      <c r="P86" s="49"/>
    </row>
    <row r="87" spans="11:16">
      <c r="K87" s="60" t="s">
        <v>159</v>
      </c>
      <c r="P87" s="49"/>
    </row>
    <row r="88" spans="11:16">
      <c r="K88" s="60" t="s">
        <v>160</v>
      </c>
      <c r="P88" s="49"/>
    </row>
    <row r="89" spans="11:16">
      <c r="K89" s="60" t="s">
        <v>161</v>
      </c>
      <c r="P89" s="49"/>
    </row>
    <row r="90" spans="11:16">
      <c r="K90" s="60" t="s">
        <v>162</v>
      </c>
      <c r="P90" s="49"/>
    </row>
    <row r="91" spans="11:16">
      <c r="K91" s="60" t="s">
        <v>163</v>
      </c>
      <c r="P91" s="49">
        <v>1</v>
      </c>
    </row>
    <row r="92" spans="11:16">
      <c r="K92" s="60" t="s">
        <v>164</v>
      </c>
      <c r="P92" s="49"/>
    </row>
    <row r="93" spans="11:16">
      <c r="K93" s="60" t="s">
        <v>165</v>
      </c>
      <c r="P93" s="49"/>
    </row>
    <row r="94" spans="11:16">
      <c r="K94" s="48" t="s">
        <v>166</v>
      </c>
      <c r="P94" s="49">
        <v>1</v>
      </c>
    </row>
    <row r="95" spans="11:16">
      <c r="K95" s="60" t="s">
        <v>167</v>
      </c>
      <c r="P95" s="49"/>
    </row>
    <row r="96" spans="11:16">
      <c r="K96" s="48" t="s">
        <v>168</v>
      </c>
      <c r="P96" s="49"/>
    </row>
    <row r="97" spans="10:16">
      <c r="K97" s="60" t="s">
        <v>169</v>
      </c>
      <c r="P97" s="49"/>
    </row>
    <row r="98" spans="10:16">
      <c r="K98" s="60" t="s">
        <v>170</v>
      </c>
      <c r="P98" s="49"/>
    </row>
    <row r="99" spans="10:16">
      <c r="K99" s="60" t="s">
        <v>171</v>
      </c>
      <c r="L99" s="77" t="s">
        <v>172</v>
      </c>
      <c r="P99" s="49"/>
    </row>
    <row r="100" spans="10:16">
      <c r="K100" s="60" t="s">
        <v>173</v>
      </c>
      <c r="P100" s="49"/>
    </row>
    <row r="101" spans="10:16">
      <c r="K101" s="48" t="s">
        <v>174</v>
      </c>
      <c r="P101" s="49">
        <v>1</v>
      </c>
    </row>
    <row r="102" spans="10:16">
      <c r="K102" s="60" t="s">
        <v>175</v>
      </c>
      <c r="P102" s="49"/>
    </row>
    <row r="103" spans="10:16">
      <c r="J103" s="50"/>
      <c r="K103" s="77" t="s">
        <v>175</v>
      </c>
      <c r="P103" s="49"/>
    </row>
    <row r="104" spans="10:16">
      <c r="J104" s="50"/>
      <c r="K104" s="77" t="s">
        <v>176</v>
      </c>
      <c r="P104" s="49"/>
    </row>
    <row r="105" spans="10:16">
      <c r="J105" s="50"/>
      <c r="K105" s="104" t="s">
        <v>177</v>
      </c>
      <c r="P105" s="49"/>
    </row>
    <row r="106" spans="10:16">
      <c r="J106" s="50"/>
      <c r="K106" s="77" t="s">
        <v>177</v>
      </c>
      <c r="P106" s="49"/>
    </row>
    <row r="107" spans="10:16">
      <c r="J107" s="50"/>
      <c r="K107" s="104" t="s">
        <v>178</v>
      </c>
      <c r="P107" s="49"/>
    </row>
    <row r="108" spans="10:16">
      <c r="J108" s="50"/>
      <c r="K108" s="77" t="s">
        <v>179</v>
      </c>
      <c r="P108" s="49"/>
    </row>
    <row r="109" spans="10:16">
      <c r="J109" s="50"/>
      <c r="K109" s="77" t="s">
        <v>180</v>
      </c>
      <c r="P109" s="49"/>
    </row>
    <row r="110" spans="10:16">
      <c r="J110" s="50"/>
      <c r="K110" s="77" t="s">
        <v>181</v>
      </c>
      <c r="P110" s="49"/>
    </row>
    <row r="111" spans="10:16">
      <c r="J111" s="50"/>
      <c r="K111" s="77" t="s">
        <v>182</v>
      </c>
      <c r="P111" s="49"/>
    </row>
    <row r="112" spans="10:16">
      <c r="J112" s="50"/>
      <c r="K112" s="77" t="s">
        <v>183</v>
      </c>
      <c r="P112" s="49"/>
    </row>
    <row r="113" spans="10:16">
      <c r="J113" s="50"/>
      <c r="K113" s="77" t="s">
        <v>184</v>
      </c>
      <c r="P113" s="49"/>
    </row>
    <row r="114" spans="10:16">
      <c r="J114" s="50"/>
      <c r="K114" s="104" t="s">
        <v>185</v>
      </c>
      <c r="P114" s="49"/>
    </row>
    <row r="115" spans="10:16">
      <c r="J115" s="50"/>
      <c r="K115" s="104" t="s">
        <v>186</v>
      </c>
      <c r="P115" s="49">
        <v>1</v>
      </c>
    </row>
    <row r="116" spans="10:16">
      <c r="J116" s="50"/>
      <c r="K116" s="104" t="s">
        <v>187</v>
      </c>
      <c r="P116" s="49">
        <v>4</v>
      </c>
    </row>
    <row r="117" spans="10:16">
      <c r="J117" s="50"/>
      <c r="K117" s="77" t="s">
        <v>188</v>
      </c>
      <c r="P117" s="19">
        <v>1</v>
      </c>
    </row>
    <row r="118" spans="10:16">
      <c r="J118" s="50"/>
      <c r="K118" s="77" t="s">
        <v>189</v>
      </c>
      <c r="P118" s="19">
        <v>1</v>
      </c>
    </row>
    <row r="119" spans="10:16">
      <c r="J119" s="50"/>
      <c r="K119" s="77" t="s">
        <v>190</v>
      </c>
      <c r="P119" s="19">
        <v>1</v>
      </c>
    </row>
    <row r="120" spans="10:16">
      <c r="J120" s="50"/>
      <c r="K120" s="77" t="s">
        <v>191</v>
      </c>
      <c r="P120" s="19">
        <v>1</v>
      </c>
    </row>
    <row r="121" spans="10:16">
      <c r="J121" s="50"/>
      <c r="K121" s="77" t="s">
        <v>192</v>
      </c>
      <c r="P121" s="19">
        <v>1</v>
      </c>
    </row>
    <row r="122" spans="10:16">
      <c r="J122" s="50"/>
      <c r="K122" s="77" t="s">
        <v>193</v>
      </c>
      <c r="P122" s="19">
        <v>1</v>
      </c>
    </row>
    <row r="123" spans="10:16">
      <c r="J123" s="50"/>
      <c r="K123" s="77" t="s">
        <v>194</v>
      </c>
      <c r="P123" s="49"/>
    </row>
    <row r="124" spans="10:16">
      <c r="J124" s="50"/>
      <c r="K124" s="77" t="s">
        <v>195</v>
      </c>
      <c r="P124" s="49"/>
    </row>
    <row r="125" spans="10:16">
      <c r="J125" s="50"/>
      <c r="K125" s="77" t="s">
        <v>196</v>
      </c>
      <c r="L125" s="78"/>
      <c r="M125" s="78"/>
      <c r="P125" s="49"/>
    </row>
    <row r="126" spans="10:16">
      <c r="J126" s="50"/>
      <c r="K126" s="77" t="s">
        <v>197</v>
      </c>
      <c r="L126" s="78"/>
      <c r="M126" s="78"/>
      <c r="P126" s="49"/>
    </row>
    <row r="127" spans="10:16">
      <c r="J127" s="50"/>
      <c r="K127" s="77" t="s">
        <v>198</v>
      </c>
      <c r="L127" s="78"/>
      <c r="M127" s="78"/>
      <c r="P127" s="49"/>
    </row>
    <row r="128" spans="10:16">
      <c r="J128" s="50"/>
      <c r="K128" s="77" t="s">
        <v>199</v>
      </c>
      <c r="L128" s="78"/>
      <c r="M128" s="78"/>
      <c r="P128" s="49"/>
    </row>
    <row r="129" spans="10:16">
      <c r="J129" s="50"/>
      <c r="K129" s="104" t="s">
        <v>200</v>
      </c>
      <c r="L129" s="78"/>
      <c r="M129" s="78"/>
      <c r="P129" s="49">
        <v>1</v>
      </c>
    </row>
    <row r="130" spans="10:16">
      <c r="J130" s="50"/>
      <c r="K130" s="104" t="s">
        <v>201</v>
      </c>
      <c r="L130" s="78"/>
      <c r="M130" s="78"/>
      <c r="P130" s="49"/>
    </row>
    <row r="131" spans="10:16">
      <c r="J131" s="50"/>
      <c r="K131" s="104" t="s">
        <v>202</v>
      </c>
      <c r="L131" s="78"/>
      <c r="M131" s="78"/>
      <c r="P131" s="49"/>
    </row>
    <row r="132" spans="10:16">
      <c r="J132" s="50"/>
      <c r="K132" s="77" t="s">
        <v>203</v>
      </c>
      <c r="L132" s="78"/>
      <c r="M132" s="78"/>
      <c r="P132" s="49"/>
    </row>
    <row r="133" spans="10:16">
      <c r="J133" s="50"/>
      <c r="K133" s="77" t="s">
        <v>204</v>
      </c>
      <c r="L133" s="78"/>
      <c r="M133" s="78"/>
      <c r="P133" s="49"/>
    </row>
    <row r="134" spans="10:16">
      <c r="J134" s="50"/>
      <c r="K134" s="77" t="s">
        <v>205</v>
      </c>
      <c r="L134" s="78"/>
      <c r="M134" s="78"/>
      <c r="P134" s="49"/>
    </row>
    <row r="135" spans="10:16">
      <c r="J135" s="50"/>
      <c r="K135" s="77" t="s">
        <v>206</v>
      </c>
      <c r="L135" s="78"/>
      <c r="M135" s="78"/>
      <c r="P135" s="49"/>
    </row>
    <row r="136" spans="10:16">
      <c r="J136" s="50"/>
      <c r="K136" s="77" t="s">
        <v>207</v>
      </c>
      <c r="L136" s="78"/>
      <c r="M136" s="78"/>
      <c r="P136" s="49"/>
    </row>
    <row r="137" spans="10:16">
      <c r="J137" s="50"/>
      <c r="K137" s="77" t="s">
        <v>208</v>
      </c>
      <c r="L137" s="78"/>
      <c r="M137" s="78"/>
      <c r="P137" s="49"/>
    </row>
    <row r="138" spans="10:16">
      <c r="J138" s="50"/>
      <c r="K138" s="77" t="s">
        <v>209</v>
      </c>
      <c r="L138" s="78"/>
      <c r="M138" s="78"/>
      <c r="P138" s="49"/>
    </row>
    <row r="139" spans="10:16">
      <c r="J139" s="50"/>
      <c r="K139" s="77" t="s">
        <v>210</v>
      </c>
      <c r="L139" s="78"/>
      <c r="M139" s="78"/>
      <c r="P139" s="49"/>
    </row>
    <row r="140" spans="10:16">
      <c r="J140" s="50"/>
      <c r="K140" s="104" t="s">
        <v>211</v>
      </c>
      <c r="L140" s="78"/>
      <c r="M140" s="78"/>
      <c r="P140" s="49"/>
    </row>
    <row r="141" spans="10:16">
      <c r="J141" s="50"/>
      <c r="K141" s="77" t="s">
        <v>212</v>
      </c>
      <c r="L141" s="78"/>
      <c r="M141" s="78"/>
      <c r="P141" s="49"/>
    </row>
    <row r="142" spans="10:16">
      <c r="J142" s="50"/>
      <c r="K142" s="77" t="s">
        <v>213</v>
      </c>
      <c r="L142" s="78"/>
      <c r="M142" s="78"/>
      <c r="P142" s="49"/>
    </row>
    <row r="143" spans="10:16">
      <c r="J143" s="50"/>
      <c r="K143" s="77" t="s">
        <v>214</v>
      </c>
      <c r="L143" s="78"/>
      <c r="M143" s="78"/>
      <c r="P143" s="49"/>
    </row>
    <row r="144" spans="10:16">
      <c r="J144" s="50"/>
      <c r="K144" s="77" t="s">
        <v>215</v>
      </c>
      <c r="L144" s="78"/>
      <c r="M144" s="78"/>
      <c r="P144" s="49"/>
    </row>
    <row r="145" spans="10:16">
      <c r="J145" s="50"/>
      <c r="K145" s="77" t="s">
        <v>216</v>
      </c>
      <c r="L145" s="78"/>
      <c r="M145" s="78"/>
      <c r="P145" s="49"/>
    </row>
    <row r="146" spans="10:16">
      <c r="J146" s="50"/>
      <c r="K146" s="77" t="s">
        <v>217</v>
      </c>
      <c r="L146" s="78"/>
      <c r="M146" s="78"/>
      <c r="P146" s="49"/>
    </row>
    <row r="147" spans="10:16">
      <c r="J147" s="50"/>
      <c r="K147" s="77" t="s">
        <v>218</v>
      </c>
      <c r="L147" s="78"/>
      <c r="M147" s="78"/>
      <c r="P147" s="49"/>
    </row>
    <row r="148" spans="10:16">
      <c r="J148" s="50"/>
      <c r="K148" s="104" t="s">
        <v>219</v>
      </c>
      <c r="L148" s="78"/>
      <c r="M148" s="78"/>
      <c r="P148" s="49"/>
    </row>
    <row r="149" spans="10:16">
      <c r="J149" s="50"/>
      <c r="K149" s="77" t="s">
        <v>220</v>
      </c>
      <c r="L149" s="78"/>
      <c r="M149" s="78"/>
      <c r="P149" s="49"/>
    </row>
    <row r="150" spans="10:16">
      <c r="J150" s="50"/>
      <c r="K150" s="104" t="s">
        <v>221</v>
      </c>
      <c r="L150" s="78"/>
      <c r="M150" s="78"/>
      <c r="P150" s="49"/>
    </row>
    <row r="151" spans="10:16">
      <c r="J151" s="50"/>
      <c r="K151" s="77" t="s">
        <v>222</v>
      </c>
      <c r="L151" s="78"/>
      <c r="M151" s="78"/>
      <c r="P151" s="49"/>
    </row>
    <row r="152" spans="10:16">
      <c r="J152" s="50"/>
      <c r="K152" s="77" t="s">
        <v>223</v>
      </c>
      <c r="L152" s="104"/>
      <c r="M152" s="78"/>
      <c r="P152" s="49"/>
    </row>
    <row r="153" spans="10:16">
      <c r="J153" s="50"/>
      <c r="K153" s="77" t="s">
        <v>224</v>
      </c>
      <c r="L153" s="78"/>
      <c r="M153" s="78"/>
      <c r="P153" s="49"/>
    </row>
    <row r="154" spans="10:16">
      <c r="J154" s="50"/>
      <c r="K154" s="77" t="s">
        <v>225</v>
      </c>
      <c r="L154" s="78"/>
      <c r="M154" s="78"/>
      <c r="P154" s="49"/>
    </row>
    <row r="155" spans="10:16">
      <c r="J155" s="50"/>
      <c r="K155" s="77" t="s">
        <v>226</v>
      </c>
      <c r="L155" s="78"/>
      <c r="M155" s="78"/>
      <c r="P155" s="49"/>
    </row>
    <row r="156" spans="10:16">
      <c r="J156" s="50"/>
      <c r="K156" s="104" t="s">
        <v>227</v>
      </c>
      <c r="L156" s="104"/>
      <c r="M156" s="104"/>
      <c r="P156" s="49"/>
    </row>
    <row r="157" spans="10:16">
      <c r="J157" s="50"/>
      <c r="K157" s="77" t="s">
        <v>228</v>
      </c>
      <c r="L157" s="104"/>
      <c r="M157" s="104"/>
      <c r="P157" s="49"/>
    </row>
    <row r="158" spans="10:16">
      <c r="J158" s="50"/>
      <c r="K158" s="77" t="s">
        <v>229</v>
      </c>
      <c r="L158" s="104"/>
      <c r="M158" s="104"/>
      <c r="P158" s="49"/>
    </row>
    <row r="159" spans="10:16">
      <c r="J159" s="50"/>
      <c r="K159" s="104" t="s">
        <v>230</v>
      </c>
      <c r="L159" s="104"/>
      <c r="M159" s="104"/>
      <c r="P159" s="49"/>
    </row>
    <row r="160" spans="10:16">
      <c r="J160" s="50"/>
      <c r="K160" s="77" t="s">
        <v>231</v>
      </c>
      <c r="L160" s="104"/>
      <c r="M160" s="104"/>
      <c r="P160" s="49"/>
    </row>
    <row r="161" spans="10:16">
      <c r="J161" s="50"/>
      <c r="K161" s="104" t="s">
        <v>232</v>
      </c>
      <c r="P161" s="49"/>
    </row>
    <row r="162" spans="10:16">
      <c r="J162" s="50"/>
      <c r="K162" s="77" t="s">
        <v>233</v>
      </c>
      <c r="P162" s="49"/>
    </row>
    <row r="163" spans="10:16">
      <c r="J163" s="50"/>
      <c r="K163" s="77" t="s">
        <v>234</v>
      </c>
      <c r="P163" s="49"/>
    </row>
    <row r="164" spans="10:16">
      <c r="J164" s="50"/>
      <c r="K164" s="77" t="s">
        <v>235</v>
      </c>
      <c r="P164" s="49"/>
    </row>
    <row r="165" spans="10:16">
      <c r="J165" s="50"/>
      <c r="K165" s="104" t="s">
        <v>236</v>
      </c>
      <c r="P165" s="49"/>
    </row>
    <row r="166" spans="10:16">
      <c r="J166" s="50"/>
      <c r="K166" s="77" t="s">
        <v>237</v>
      </c>
      <c r="P166" s="49"/>
    </row>
    <row r="167" spans="10:16">
      <c r="J167" s="50"/>
      <c r="K167" s="77" t="s">
        <v>238</v>
      </c>
      <c r="P167" s="49"/>
    </row>
    <row r="168" spans="10:16">
      <c r="J168" s="50"/>
      <c r="K168" s="104" t="s">
        <v>239</v>
      </c>
      <c r="P168" s="49"/>
    </row>
    <row r="169" spans="10:16">
      <c r="J169" s="50"/>
      <c r="K169" s="77" t="s">
        <v>240</v>
      </c>
      <c r="P169" s="49"/>
    </row>
    <row r="170" spans="10:16">
      <c r="J170" s="50"/>
      <c r="K170" s="77" t="s">
        <v>241</v>
      </c>
      <c r="P170" s="49"/>
    </row>
    <row r="171" spans="10:16">
      <c r="J171" s="50"/>
      <c r="K171" s="77" t="s">
        <v>242</v>
      </c>
      <c r="P171" s="49"/>
    </row>
    <row r="172" spans="10:16">
      <c r="J172" s="50"/>
      <c r="K172" s="104" t="s">
        <v>243</v>
      </c>
      <c r="P172" s="49"/>
    </row>
    <row r="173" spans="10:16">
      <c r="J173" s="50"/>
      <c r="K173" s="104" t="s">
        <v>244</v>
      </c>
      <c r="P173" s="49"/>
    </row>
    <row r="174" spans="10:16">
      <c r="J174" s="50"/>
      <c r="K174" s="77" t="s">
        <v>245</v>
      </c>
      <c r="P174" s="49"/>
    </row>
    <row r="175" spans="10:16">
      <c r="J175" s="50"/>
      <c r="K175" s="77" t="s">
        <v>246</v>
      </c>
      <c r="P175" s="49"/>
    </row>
    <row r="176" spans="10:16">
      <c r="J176" s="50"/>
      <c r="K176" s="77" t="s">
        <v>247</v>
      </c>
      <c r="P176" s="49">
        <v>1</v>
      </c>
    </row>
    <row r="177" spans="10:16">
      <c r="J177" s="50"/>
      <c r="K177" s="77" t="s">
        <v>248</v>
      </c>
      <c r="P177" s="49"/>
    </row>
    <row r="178" spans="10:16">
      <c r="J178" s="50"/>
      <c r="K178" s="77" t="s">
        <v>249</v>
      </c>
      <c r="P178" s="49"/>
    </row>
    <row r="179" spans="10:16">
      <c r="J179" s="50"/>
      <c r="K179" s="77" t="s">
        <v>250</v>
      </c>
      <c r="P179" s="49"/>
    </row>
    <row r="180" spans="10:16">
      <c r="J180" s="50"/>
      <c r="K180" s="104" t="s">
        <v>251</v>
      </c>
      <c r="P180" s="49"/>
    </row>
    <row r="181" spans="10:16">
      <c r="J181" s="50"/>
      <c r="K181" s="77" t="s">
        <v>252</v>
      </c>
      <c r="P181" s="49"/>
    </row>
    <row r="182" spans="10:16">
      <c r="J182" s="50"/>
      <c r="K182" s="77" t="s">
        <v>253</v>
      </c>
      <c r="P182" s="49"/>
    </row>
    <row r="183" spans="10:16">
      <c r="J183" s="50"/>
      <c r="K183" s="77" t="s">
        <v>254</v>
      </c>
      <c r="P183" s="49"/>
    </row>
    <row r="184" spans="10:16">
      <c r="J184" s="50"/>
      <c r="K184" s="104" t="s">
        <v>255</v>
      </c>
      <c r="P184" s="49"/>
    </row>
    <row r="185" spans="10:16">
      <c r="J185" s="50"/>
      <c r="K185" s="77" t="s">
        <v>256</v>
      </c>
      <c r="P185" s="49"/>
    </row>
    <row r="186" spans="10:16">
      <c r="J186" s="50"/>
      <c r="K186" s="104" t="s">
        <v>257</v>
      </c>
      <c r="P186" s="49"/>
    </row>
    <row r="187" spans="10:16">
      <c r="J187" s="50"/>
      <c r="K187" s="77" t="s">
        <v>258</v>
      </c>
      <c r="P187" s="49"/>
    </row>
    <row r="188" spans="10:16">
      <c r="J188" s="50"/>
      <c r="K188" s="77" t="s">
        <v>259</v>
      </c>
      <c r="P188" s="49"/>
    </row>
    <row r="189" spans="10:16">
      <c r="J189" s="50"/>
      <c r="K189" s="77" t="s">
        <v>260</v>
      </c>
      <c r="P189" s="49"/>
    </row>
    <row r="190" spans="10:16">
      <c r="J190" s="50"/>
      <c r="K190" s="77" t="s">
        <v>261</v>
      </c>
      <c r="P190" s="49"/>
    </row>
    <row r="191" spans="10:16">
      <c r="J191" s="50"/>
      <c r="K191" s="77" t="s">
        <v>262</v>
      </c>
      <c r="P191" s="49"/>
    </row>
    <row r="192" spans="10:16">
      <c r="J192" s="50"/>
      <c r="K192" s="104" t="s">
        <v>263</v>
      </c>
      <c r="P192" s="49"/>
    </row>
    <row r="193" spans="10:22">
      <c r="J193" s="50"/>
      <c r="K193" s="77" t="s">
        <v>264</v>
      </c>
      <c r="P193" s="49"/>
    </row>
    <row r="194" spans="10:22">
      <c r="J194" s="50"/>
      <c r="K194" s="104" t="s">
        <v>265</v>
      </c>
      <c r="P194" s="49">
        <v>1</v>
      </c>
    </row>
    <row r="195" spans="10:22">
      <c r="J195" s="50"/>
      <c r="K195" s="77" t="s">
        <v>266</v>
      </c>
      <c r="P195" s="49"/>
    </row>
    <row r="196" spans="10:22">
      <c r="J196" s="50"/>
      <c r="K196" s="104" t="s">
        <v>267</v>
      </c>
      <c r="P196" s="49"/>
    </row>
    <row r="197" spans="10:22">
      <c r="J197" s="50"/>
      <c r="K197" s="77" t="s">
        <v>268</v>
      </c>
      <c r="P197" s="49"/>
    </row>
    <row r="198" spans="10:22">
      <c r="K198" s="77" t="s">
        <v>269</v>
      </c>
      <c r="P198" s="49"/>
    </row>
    <row r="199" spans="10:22">
      <c r="K199" s="104" t="s">
        <v>270</v>
      </c>
      <c r="P199" s="49"/>
    </row>
    <row r="200" spans="10:22">
      <c r="K200" s="77" t="s">
        <v>271</v>
      </c>
      <c r="P200" s="49"/>
    </row>
    <row r="201" spans="10:22">
      <c r="K201" s="77" t="s">
        <v>272</v>
      </c>
      <c r="P201" s="49"/>
    </row>
    <row r="202" spans="10:22">
      <c r="K202" s="104" t="s">
        <v>273</v>
      </c>
      <c r="P202" s="49"/>
    </row>
    <row r="203" spans="10:22">
      <c r="K203" s="77" t="s">
        <v>274</v>
      </c>
      <c r="P203" s="19">
        <v>1</v>
      </c>
    </row>
    <row r="204" spans="10:22">
      <c r="K204" s="77" t="s">
        <v>275</v>
      </c>
      <c r="P204" s="19">
        <v>1</v>
      </c>
    </row>
    <row r="205" spans="10:22">
      <c r="K205" s="77" t="s">
        <v>276</v>
      </c>
      <c r="P205" s="19">
        <v>2</v>
      </c>
    </row>
    <row r="206" spans="10:22">
      <c r="K206" s="74" t="s">
        <v>149</v>
      </c>
      <c r="P206" s="75">
        <v>1</v>
      </c>
      <c r="Q206" s="77" t="s">
        <v>289</v>
      </c>
      <c r="R206" s="78"/>
      <c r="S206" s="78"/>
      <c r="V206" s="49"/>
    </row>
    <row r="207" spans="10:22">
      <c r="K207" s="74" t="s">
        <v>277</v>
      </c>
      <c r="P207" s="75">
        <v>1</v>
      </c>
    </row>
    <row r="208" spans="10:22">
      <c r="K208" s="74" t="s">
        <v>190</v>
      </c>
      <c r="P208" s="75">
        <v>1</v>
      </c>
    </row>
    <row r="209" spans="11:16">
      <c r="K209" s="74" t="s">
        <v>274</v>
      </c>
      <c r="P209" s="75">
        <v>1</v>
      </c>
    </row>
    <row r="210" spans="11:16">
      <c r="K210" s="74" t="s">
        <v>242</v>
      </c>
      <c r="P210" s="75">
        <v>1</v>
      </c>
    </row>
    <row r="211" spans="11:16">
      <c r="K211" s="74" t="s">
        <v>278</v>
      </c>
      <c r="P211" s="75">
        <v>1</v>
      </c>
    </row>
    <row r="212" spans="11:16">
      <c r="K212" s="74" t="s">
        <v>279</v>
      </c>
      <c r="P212" s="75">
        <v>4</v>
      </c>
    </row>
    <row r="213" spans="11:16">
      <c r="K213" s="74" t="s">
        <v>174</v>
      </c>
      <c r="P213" s="75">
        <v>1</v>
      </c>
    </row>
    <row r="214" spans="11:16">
      <c r="K214" s="74" t="s">
        <v>226</v>
      </c>
      <c r="P214" s="75">
        <v>1</v>
      </c>
    </row>
    <row r="215" spans="11:16">
      <c r="K215" s="74" t="s">
        <v>280</v>
      </c>
      <c r="P215" s="75">
        <v>1</v>
      </c>
    </row>
    <row r="216" spans="11:16">
      <c r="K216" s="74" t="s">
        <v>281</v>
      </c>
      <c r="P216" s="75">
        <v>4</v>
      </c>
    </row>
    <row r="217" spans="11:16">
      <c r="K217" s="74" t="s">
        <v>153</v>
      </c>
      <c r="P217" s="75">
        <v>1</v>
      </c>
    </row>
    <row r="218" spans="11:16">
      <c r="K218" s="74" t="s">
        <v>282</v>
      </c>
      <c r="P218" s="75">
        <v>1</v>
      </c>
    </row>
    <row r="219" spans="11:16">
      <c r="K219" s="74" t="s">
        <v>163</v>
      </c>
      <c r="P219" s="75">
        <v>3</v>
      </c>
    </row>
    <row r="220" spans="11:16">
      <c r="K220" s="74" t="s">
        <v>119</v>
      </c>
      <c r="P220" s="75">
        <v>1</v>
      </c>
    </row>
    <row r="221" spans="11:16">
      <c r="K221" s="74" t="s">
        <v>283</v>
      </c>
      <c r="P221" s="75">
        <v>3</v>
      </c>
    </row>
    <row r="222" spans="11:16">
      <c r="K222" s="74" t="s">
        <v>243</v>
      </c>
      <c r="P222" s="75">
        <v>1</v>
      </c>
    </row>
    <row r="223" spans="11:16">
      <c r="K223" s="74" t="s">
        <v>284</v>
      </c>
      <c r="P223" s="75">
        <v>2</v>
      </c>
    </row>
    <row r="224" spans="11:16">
      <c r="K224" s="74" t="s">
        <v>209</v>
      </c>
      <c r="P224" s="75">
        <v>1</v>
      </c>
    </row>
    <row r="225" spans="11:16">
      <c r="K225" s="74" t="s">
        <v>185</v>
      </c>
      <c r="P225" s="75">
        <v>2</v>
      </c>
    </row>
    <row r="226" spans="11:16">
      <c r="K226" s="74" t="s">
        <v>285</v>
      </c>
      <c r="P226" s="75">
        <v>2</v>
      </c>
    </row>
    <row r="227" spans="11:16">
      <c r="K227" s="74" t="s">
        <v>286</v>
      </c>
      <c r="P227" s="75">
        <v>1</v>
      </c>
    </row>
    <row r="228" spans="11:16">
      <c r="K228" s="74" t="s">
        <v>210</v>
      </c>
      <c r="P228" s="75">
        <v>1</v>
      </c>
    </row>
    <row r="229" spans="11:16">
      <c r="K229" s="74" t="s">
        <v>287</v>
      </c>
      <c r="P229" s="75">
        <v>2</v>
      </c>
    </row>
    <row r="230" spans="11:16">
      <c r="K230" s="74" t="s">
        <v>288</v>
      </c>
      <c r="P230" s="75">
        <v>2</v>
      </c>
    </row>
    <row r="231" spans="11:16">
      <c r="K231" s="74" t="s">
        <v>139</v>
      </c>
      <c r="P231" s="75">
        <v>1</v>
      </c>
    </row>
    <row r="232" spans="11:16">
      <c r="K232" s="74" t="s">
        <v>202</v>
      </c>
      <c r="P232" s="75">
        <v>1</v>
      </c>
    </row>
    <row r="233" spans="11:16">
      <c r="K233" s="74" t="s">
        <v>125</v>
      </c>
      <c r="P233" s="75">
        <v>1</v>
      </c>
    </row>
    <row r="234" spans="11:16">
      <c r="K234" s="74" t="s">
        <v>249</v>
      </c>
      <c r="P234" s="75">
        <v>1</v>
      </c>
    </row>
  </sheetData>
  <mergeCells count="20">
    <mergeCell ref="AK40:AM40"/>
    <mergeCell ref="AL1:AL3"/>
    <mergeCell ref="D38:F38"/>
    <mergeCell ref="M39:S39"/>
    <mergeCell ref="AB2:AI2"/>
    <mergeCell ref="AA37:AG37"/>
    <mergeCell ref="E40:F44"/>
    <mergeCell ref="AK44:AL44"/>
    <mergeCell ref="AK1:AK3"/>
    <mergeCell ref="AM1:AM3"/>
    <mergeCell ref="G41:H41"/>
    <mergeCell ref="G44:H44"/>
    <mergeCell ref="C2:I2"/>
    <mergeCell ref="G40:H40"/>
    <mergeCell ref="K2:Q2"/>
    <mergeCell ref="G43:H43"/>
    <mergeCell ref="AA38:AB38"/>
    <mergeCell ref="G42:H42"/>
    <mergeCell ref="S2:Z2"/>
    <mergeCell ref="A1:AI1"/>
  </mergeCells>
  <pageMargins left="0.7" right="0.7" top="0.75" bottom="0.75" header="0.3" footer="0.3"/>
  <pageSetup orientation="portrait" horizontalDpi="360" verticalDpi="360"/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82"/>
  <sheetViews>
    <sheetView workbookViewId="0">
      <pane ySplit="1" topLeftCell="A72" activePane="bottomLeft" state="frozen"/>
      <selection pane="bottomLeft" activeCell="B35" sqref="B35:B82"/>
    </sheetView>
  </sheetViews>
  <sheetFormatPr defaultRowHeight="15"/>
  <cols>
    <col min="1" max="1" width="45" style="95" customWidth="1"/>
    <col min="2" max="2" width="10" style="95" customWidth="1"/>
  </cols>
  <sheetData>
    <row r="1" spans="1:2">
      <c r="A1" s="71" t="s">
        <v>291</v>
      </c>
      <c r="B1" s="71" t="s">
        <v>292</v>
      </c>
    </row>
    <row r="4" spans="1:2">
      <c r="A4" s="72"/>
      <c r="B4" s="73"/>
    </row>
    <row r="5" spans="1:2">
      <c r="A5" s="72"/>
      <c r="B5" s="73"/>
    </row>
    <row r="6" spans="1:2">
      <c r="A6" s="72"/>
      <c r="B6" s="73"/>
    </row>
    <row r="7" spans="1:2">
      <c r="A7" s="72"/>
      <c r="B7" s="73"/>
    </row>
    <row r="8" spans="1:2">
      <c r="A8" s="72"/>
      <c r="B8" s="73"/>
    </row>
    <row r="9" spans="1:2">
      <c r="A9" s="72"/>
      <c r="B9" s="73"/>
    </row>
    <row r="10" spans="1:2">
      <c r="A10" s="72"/>
      <c r="B10" s="73"/>
    </row>
    <row r="11" spans="1:2">
      <c r="A11" s="72"/>
      <c r="B11" s="73"/>
    </row>
    <row r="12" spans="1:2">
      <c r="A12" s="72"/>
      <c r="B12" s="73"/>
    </row>
    <row r="13" spans="1:2">
      <c r="A13" s="72"/>
      <c r="B13" s="73"/>
    </row>
    <row r="14" spans="1:2">
      <c r="A14" s="72"/>
      <c r="B14" s="73"/>
    </row>
    <row r="15" spans="1:2">
      <c r="A15" s="72"/>
      <c r="B15" s="73"/>
    </row>
    <row r="16" spans="1:2">
      <c r="A16" s="72"/>
      <c r="B16" s="73"/>
    </row>
    <row r="17" spans="1:2">
      <c r="A17" s="72"/>
      <c r="B17" s="73"/>
    </row>
    <row r="18" spans="1:2">
      <c r="A18" s="72"/>
      <c r="B18" s="73"/>
    </row>
    <row r="19" spans="1:2">
      <c r="A19" s="72"/>
      <c r="B19" s="73"/>
    </row>
    <row r="20" spans="1:2">
      <c r="A20" s="72"/>
      <c r="B20" s="73"/>
    </row>
    <row r="21" spans="1:2">
      <c r="A21" s="72"/>
      <c r="B21" s="73"/>
    </row>
    <row r="22" spans="1:2">
      <c r="A22" s="72"/>
      <c r="B22" s="73"/>
    </row>
    <row r="23" spans="1:2">
      <c r="A23" s="72"/>
      <c r="B23" s="73"/>
    </row>
    <row r="24" spans="1:2">
      <c r="A24" s="72"/>
      <c r="B24" s="73"/>
    </row>
    <row r="25" spans="1:2">
      <c r="A25" s="72"/>
      <c r="B25" s="73"/>
    </row>
    <row r="26" spans="1:2">
      <c r="A26" s="72"/>
      <c r="B26" s="73"/>
    </row>
    <row r="27" spans="1:2">
      <c r="A27" s="72"/>
      <c r="B27" s="73"/>
    </row>
    <row r="28" spans="1:2">
      <c r="A28" s="72"/>
      <c r="B28" s="73"/>
    </row>
    <row r="29" spans="1:2">
      <c r="A29" s="72"/>
      <c r="B29" s="73"/>
    </row>
    <row r="30" spans="1:2">
      <c r="A30" s="72"/>
      <c r="B30" s="73"/>
    </row>
    <row r="31" spans="1:2">
      <c r="A31" s="72"/>
      <c r="B31" s="73"/>
    </row>
    <row r="32" spans="1:2">
      <c r="A32" s="72"/>
      <c r="B32" s="73"/>
    </row>
    <row r="33" spans="1:2">
      <c r="A33" s="72"/>
      <c r="B33" s="73"/>
    </row>
    <row r="34" spans="1:2">
      <c r="A34" s="72"/>
      <c r="B34" s="73"/>
    </row>
    <row r="35" spans="1:2">
      <c r="A35" s="72" t="s">
        <v>293</v>
      </c>
      <c r="B35" s="73">
        <v>1</v>
      </c>
    </row>
    <row r="36" spans="1:2">
      <c r="A36" s="72" t="s">
        <v>294</v>
      </c>
      <c r="B36" s="73">
        <v>3</v>
      </c>
    </row>
    <row r="37" spans="1:2">
      <c r="A37" s="72" t="s">
        <v>295</v>
      </c>
      <c r="B37" s="73">
        <v>5</v>
      </c>
    </row>
    <row r="38" spans="1:2">
      <c r="A38" s="72" t="s">
        <v>296</v>
      </c>
      <c r="B38" s="73">
        <v>6</v>
      </c>
    </row>
    <row r="39" spans="1:2">
      <c r="A39" s="72" t="s">
        <v>219</v>
      </c>
      <c r="B39" s="73">
        <v>1</v>
      </c>
    </row>
    <row r="40" spans="1:2">
      <c r="A40" s="72" t="s">
        <v>297</v>
      </c>
      <c r="B40" s="73">
        <v>4</v>
      </c>
    </row>
    <row r="41" spans="1:2">
      <c r="A41" s="72" t="s">
        <v>298</v>
      </c>
      <c r="B41" s="73">
        <v>1</v>
      </c>
    </row>
    <row r="42" spans="1:2">
      <c r="A42" s="72" t="s">
        <v>299</v>
      </c>
      <c r="B42" s="73">
        <v>1</v>
      </c>
    </row>
    <row r="43" spans="1:2">
      <c r="A43" s="72" t="s">
        <v>300</v>
      </c>
      <c r="B43" s="73">
        <v>2</v>
      </c>
    </row>
    <row r="44" spans="1:2">
      <c r="A44" s="72" t="s">
        <v>301</v>
      </c>
      <c r="B44" s="73">
        <v>1</v>
      </c>
    </row>
    <row r="45" spans="1:2">
      <c r="A45" s="72" t="s">
        <v>302</v>
      </c>
      <c r="B45" s="73">
        <v>5</v>
      </c>
    </row>
    <row r="46" spans="1:2">
      <c r="A46" s="72" t="s">
        <v>303</v>
      </c>
      <c r="B46" s="73">
        <v>1</v>
      </c>
    </row>
    <row r="47" spans="1:2">
      <c r="A47" s="72" t="s">
        <v>304</v>
      </c>
      <c r="B47" s="73">
        <v>3</v>
      </c>
    </row>
    <row r="48" spans="1:2">
      <c r="A48" s="72" t="s">
        <v>305</v>
      </c>
      <c r="B48" s="73">
        <v>1</v>
      </c>
    </row>
    <row r="49" spans="1:2">
      <c r="A49" s="72" t="s">
        <v>306</v>
      </c>
      <c r="B49" s="73">
        <v>1</v>
      </c>
    </row>
    <row r="50" spans="1:2">
      <c r="A50" s="72" t="s">
        <v>307</v>
      </c>
      <c r="B50" s="73">
        <v>1</v>
      </c>
    </row>
    <row r="51" spans="1:2">
      <c r="A51" s="72" t="s">
        <v>308</v>
      </c>
      <c r="B51" s="73">
        <v>1</v>
      </c>
    </row>
    <row r="52" spans="1:2">
      <c r="A52" s="72" t="s">
        <v>309</v>
      </c>
      <c r="B52" s="73">
        <v>1</v>
      </c>
    </row>
    <row r="53" spans="1:2">
      <c r="A53" s="72" t="s">
        <v>286</v>
      </c>
      <c r="B53" s="73">
        <v>5</v>
      </c>
    </row>
    <row r="54" spans="1:2">
      <c r="A54" s="72" t="s">
        <v>279</v>
      </c>
      <c r="B54" s="73">
        <v>1</v>
      </c>
    </row>
    <row r="55" spans="1:2">
      <c r="A55" s="72" t="s">
        <v>310</v>
      </c>
      <c r="B55" s="73">
        <v>4</v>
      </c>
    </row>
    <row r="56" spans="1:2">
      <c r="A56" s="72" t="s">
        <v>311</v>
      </c>
      <c r="B56" s="73">
        <v>2</v>
      </c>
    </row>
    <row r="57" spans="1:2">
      <c r="A57" s="72" t="s">
        <v>312</v>
      </c>
      <c r="B57" s="73">
        <v>1</v>
      </c>
    </row>
    <row r="58" spans="1:2">
      <c r="A58" s="72" t="s">
        <v>313</v>
      </c>
      <c r="B58" s="73">
        <v>1</v>
      </c>
    </row>
    <row r="59" spans="1:2">
      <c r="A59" s="72" t="s">
        <v>314</v>
      </c>
      <c r="B59" s="73">
        <v>1</v>
      </c>
    </row>
    <row r="60" spans="1:2">
      <c r="A60" s="72" t="s">
        <v>315</v>
      </c>
      <c r="B60" s="73">
        <v>2</v>
      </c>
    </row>
    <row r="61" spans="1:2">
      <c r="A61" s="72" t="s">
        <v>316</v>
      </c>
      <c r="B61" s="73">
        <v>2</v>
      </c>
    </row>
    <row r="62" spans="1:2">
      <c r="A62" s="72" t="s">
        <v>317</v>
      </c>
      <c r="B62" s="73">
        <v>1</v>
      </c>
    </row>
    <row r="63" spans="1:2">
      <c r="A63" s="72" t="s">
        <v>318</v>
      </c>
      <c r="B63" s="73">
        <v>1</v>
      </c>
    </row>
    <row r="64" spans="1:2">
      <c r="A64" s="72" t="s">
        <v>319</v>
      </c>
      <c r="B64" s="73">
        <v>3</v>
      </c>
    </row>
    <row r="65" spans="1:2">
      <c r="A65" s="72" t="s">
        <v>320</v>
      </c>
      <c r="B65" s="73">
        <v>1</v>
      </c>
    </row>
    <row r="66" spans="1:2">
      <c r="A66" s="72" t="s">
        <v>321</v>
      </c>
      <c r="B66" s="73">
        <v>1</v>
      </c>
    </row>
    <row r="67" spans="1:2">
      <c r="A67" s="72" t="s">
        <v>322</v>
      </c>
      <c r="B67" s="73">
        <v>1</v>
      </c>
    </row>
    <row r="68" spans="1:2">
      <c r="A68" s="72" t="s">
        <v>323</v>
      </c>
      <c r="B68" s="73">
        <v>3</v>
      </c>
    </row>
    <row r="69" spans="1:2">
      <c r="A69" s="72" t="s">
        <v>324</v>
      </c>
      <c r="B69" s="73">
        <v>1</v>
      </c>
    </row>
    <row r="70" spans="1:2">
      <c r="A70" s="72" t="s">
        <v>284</v>
      </c>
      <c r="B70" s="73">
        <v>1</v>
      </c>
    </row>
    <row r="71" spans="1:2">
      <c r="A71" s="72" t="s">
        <v>325</v>
      </c>
      <c r="B71" s="73">
        <v>1</v>
      </c>
    </row>
    <row r="72" spans="1:2">
      <c r="A72" s="72" t="s">
        <v>326</v>
      </c>
      <c r="B72" s="73">
        <v>1</v>
      </c>
    </row>
    <row r="73" spans="1:2">
      <c r="A73" s="72" t="s">
        <v>327</v>
      </c>
      <c r="B73" s="73">
        <v>2</v>
      </c>
    </row>
    <row r="74" spans="1:2">
      <c r="A74" s="72" t="s">
        <v>328</v>
      </c>
      <c r="B74" s="73">
        <v>1</v>
      </c>
    </row>
    <row r="75" spans="1:2">
      <c r="A75" s="72" t="s">
        <v>329</v>
      </c>
      <c r="B75" s="73">
        <v>1</v>
      </c>
    </row>
    <row r="76" spans="1:2">
      <c r="A76" s="72" t="s">
        <v>330</v>
      </c>
      <c r="B76" s="73">
        <v>1</v>
      </c>
    </row>
    <row r="77" spans="1:2">
      <c r="A77" s="72" t="s">
        <v>331</v>
      </c>
      <c r="B77" s="73">
        <v>1</v>
      </c>
    </row>
    <row r="78" spans="1:2">
      <c r="A78" s="72" t="s">
        <v>332</v>
      </c>
      <c r="B78" s="73">
        <v>1</v>
      </c>
    </row>
    <row r="79" spans="1:2">
      <c r="A79" s="72" t="s">
        <v>278</v>
      </c>
      <c r="B79" s="73">
        <v>2</v>
      </c>
    </row>
    <row r="80" spans="1:2">
      <c r="A80" s="72" t="s">
        <v>354</v>
      </c>
      <c r="B80" s="73">
        <v>3</v>
      </c>
    </row>
    <row r="81" spans="1:2">
      <c r="A81" s="72" t="s">
        <v>333</v>
      </c>
      <c r="B81" s="73">
        <v>1</v>
      </c>
    </row>
    <row r="82" spans="1:2">
      <c r="A82" s="72" t="s">
        <v>334</v>
      </c>
      <c r="B82" s="73">
        <v>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20"/>
  <sheetViews>
    <sheetView workbookViewId="0">
      <pane ySplit="1" topLeftCell="A2" activePane="bottomLeft" state="frozen"/>
      <selection pane="bottomLeft" activeCell="A20" sqref="A2:A20"/>
    </sheetView>
  </sheetViews>
  <sheetFormatPr defaultRowHeight="15"/>
  <cols>
    <col min="1" max="1" width="40" style="95" customWidth="1"/>
    <col min="2" max="2" width="10" style="95" customWidth="1"/>
  </cols>
  <sheetData>
    <row r="1" spans="1:2">
      <c r="A1" s="103" t="s">
        <v>335</v>
      </c>
      <c r="B1" s="103" t="s">
        <v>292</v>
      </c>
    </row>
    <row r="2" spans="1:2">
      <c r="A2" t="s">
        <v>30</v>
      </c>
      <c r="B2">
        <v>108</v>
      </c>
    </row>
    <row r="3" spans="1:2">
      <c r="A3" t="s">
        <v>336</v>
      </c>
      <c r="B3">
        <v>69</v>
      </c>
    </row>
    <row r="4" spans="1:2">
      <c r="A4" t="s">
        <v>337</v>
      </c>
      <c r="B4">
        <v>37</v>
      </c>
    </row>
    <row r="5" spans="1:2">
      <c r="A5" t="s">
        <v>338</v>
      </c>
      <c r="B5">
        <v>22</v>
      </c>
    </row>
    <row r="6" spans="1:2">
      <c r="A6" t="s">
        <v>339</v>
      </c>
      <c r="B6">
        <v>22</v>
      </c>
    </row>
    <row r="7" spans="1:2">
      <c r="A7" s="72" t="s">
        <v>340</v>
      </c>
      <c r="B7" s="73">
        <v>2</v>
      </c>
    </row>
    <row r="8" spans="1:2">
      <c r="A8" s="72" t="s">
        <v>341</v>
      </c>
      <c r="B8" s="73">
        <v>3</v>
      </c>
    </row>
    <row r="9" spans="1:2">
      <c r="A9" s="72" t="s">
        <v>342</v>
      </c>
      <c r="B9" s="73">
        <v>6</v>
      </c>
    </row>
    <row r="10" spans="1:2">
      <c r="A10" s="72" t="s">
        <v>343</v>
      </c>
      <c r="B10" s="73">
        <v>4</v>
      </c>
    </row>
    <row r="11" spans="1:2">
      <c r="A11" s="72" t="s">
        <v>344</v>
      </c>
      <c r="B11" s="73">
        <v>1</v>
      </c>
    </row>
    <row r="12" spans="1:2">
      <c r="A12" s="72" t="s">
        <v>345</v>
      </c>
      <c r="B12" s="73">
        <v>11</v>
      </c>
    </row>
    <row r="13" spans="1:2">
      <c r="A13" s="72" t="s">
        <v>346</v>
      </c>
      <c r="B13" s="73">
        <v>3</v>
      </c>
    </row>
    <row r="14" spans="1:2">
      <c r="A14" s="72" t="s">
        <v>347</v>
      </c>
      <c r="B14" s="73">
        <v>3</v>
      </c>
    </row>
    <row r="15" spans="1:2">
      <c r="A15" s="72" t="s">
        <v>348</v>
      </c>
      <c r="B15" s="73">
        <v>8</v>
      </c>
    </row>
    <row r="16" spans="1:2">
      <c r="A16" s="72" t="s">
        <v>349</v>
      </c>
      <c r="B16" s="73">
        <v>2</v>
      </c>
    </row>
    <row r="17" spans="1:2">
      <c r="A17" s="72" t="s">
        <v>350</v>
      </c>
      <c r="B17" s="73">
        <v>1</v>
      </c>
    </row>
    <row r="18" spans="1:2">
      <c r="A18" s="72" t="s">
        <v>351</v>
      </c>
      <c r="B18" s="73">
        <v>2</v>
      </c>
    </row>
    <row r="19" spans="1:2">
      <c r="A19" s="72" t="s">
        <v>352</v>
      </c>
      <c r="B19" s="73">
        <v>2</v>
      </c>
    </row>
    <row r="20" spans="1:2">
      <c r="A20" s="72" t="s">
        <v>353</v>
      </c>
      <c r="B20" s="73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 Data</vt:lpstr>
      <vt:lpstr>x</vt:lpstr>
      <vt:lpstr>June 2026</vt:lpstr>
      <vt:lpstr>May 2026</vt:lpstr>
      <vt:lpstr>School Tally</vt:lpstr>
      <vt:lpstr>Residency Tally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Efraim Paez</dc:creator>
  <cp:lastModifiedBy>User</cp:lastModifiedBy>
  <dcterms:created xsi:type="dcterms:W3CDTF">2025-06-09T13:50:00Z</dcterms:created>
  <dcterms:modified xsi:type="dcterms:W3CDTF">2026-06-04T08:59:19Z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2EA78F55AB6F42BDB0ABE7D82D00DC11_12</vt:lpwstr>
  </property>
  <property fmtid="{D5CDD505-2E9C-101B-9397-08002B2CF9AE}" pid="3" name="KSOProductBuildVer">
    <vt:lpwstr>1033-12.1.0.26372</vt:lpwstr>
  </property>
  <property fmtid="{D5CDD505-2E9C-101B-9397-08002B2CF9AE}" pid="4" name="CalculationRule">
    <vt:i4>0</vt:i4>
  </property>
</Properties>
</file>